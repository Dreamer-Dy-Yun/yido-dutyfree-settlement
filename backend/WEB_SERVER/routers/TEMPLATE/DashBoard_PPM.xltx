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hidePivotFieldList="1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윤대영\Documents\사용자 지정 Office 서식 파일\"/>
    </mc:Choice>
  </mc:AlternateContent>
  <xr:revisionPtr revIDLastSave="0" documentId="13_ncr:1_{EAD4D8D8-5ACA-45CE-AA32-E0DAFBA2E269}" xr6:coauthVersionLast="47" xr6:coauthVersionMax="47" xr10:uidLastSave="{00000000-0000-0000-0000-000000000000}"/>
  <bookViews>
    <workbookView xWindow="-110" yWindow="-110" windowWidth="25820" windowHeight="15620" activeTab="2" xr2:uid="{00000000-000D-0000-FFFF-FFFF00000000}"/>
  </bookViews>
  <sheets>
    <sheet name="info" sheetId="1" r:id="rId1"/>
    <sheet name="일별 수율 데이터" sheetId="2" r:id="rId2"/>
    <sheet name="DashBoard" sheetId="5" r:id="rId3"/>
    <sheet name="pivot" sheetId="4" state="hidden" r:id="rId4"/>
    <sheet name="(참고)info" sheetId="7" r:id="rId5"/>
    <sheet name="(참고)일별 수율 데이터" sheetId="6" r:id="rId6"/>
  </sheets>
  <definedNames>
    <definedName name="NativeTimeline_날짜">#N/A</definedName>
    <definedName name="슬라이서_모델명">#N/A</definedName>
    <definedName name="슬라이서_장비명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4" l="1"/>
  <c r="G4" i="4"/>
  <c r="F4" i="4" l="1"/>
</calcChain>
</file>

<file path=xl/sharedStrings.xml><?xml version="1.0" encoding="utf-8"?>
<sst xmlns="http://schemas.openxmlformats.org/spreadsheetml/2006/main" count="555" uniqueCount="57">
  <si>
    <t>항목</t>
  </si>
  <si>
    <t>값</t>
  </si>
  <si>
    <t>장비명</t>
  </si>
  <si>
    <t>모델명</t>
  </si>
  <si>
    <t>시작일자</t>
  </si>
  <si>
    <t>종료일자</t>
  </si>
  <si>
    <t>보고일자</t>
  </si>
  <si>
    <t>전체</t>
  </si>
  <si>
    <t>2025-01-01</t>
  </si>
  <si>
    <t>2025-12-30</t>
  </si>
  <si>
    <t>날짜</t>
  </si>
  <si>
    <t>OK</t>
  </si>
  <si>
    <t>NG</t>
  </si>
  <si>
    <t>TOTAL</t>
  </si>
  <si>
    <t>MI-01</t>
  </si>
  <si>
    <t>MI-02</t>
  </si>
  <si>
    <t>DB92-05165A</t>
  </si>
  <si>
    <t>DB92-05596E</t>
  </si>
  <si>
    <t>DB92-05606A</t>
  </si>
  <si>
    <t>DB92-05606D</t>
  </si>
  <si>
    <t>DB92-05606E</t>
  </si>
  <si>
    <t>DB92-05607A</t>
  </si>
  <si>
    <t>DB92-05607B</t>
  </si>
  <si>
    <t>DB92-05607C</t>
  </si>
  <si>
    <t>DB92-05608A</t>
  </si>
  <si>
    <t>DB92-05669A</t>
  </si>
  <si>
    <t>DB92-05679A</t>
  </si>
  <si>
    <t>DB92-05679B</t>
  </si>
  <si>
    <t>DB92-05685A</t>
  </si>
  <si>
    <t>DB92-05685B</t>
  </si>
  <si>
    <t>DB92-05685C</t>
  </si>
  <si>
    <t>DB92-05703A</t>
  </si>
  <si>
    <t>DB92-05703C</t>
  </si>
  <si>
    <t>DB92-05775A</t>
  </si>
  <si>
    <t>DB92-05775B</t>
  </si>
  <si>
    <t>DB92-05806A</t>
  </si>
  <si>
    <t>DB92-05806B</t>
  </si>
  <si>
    <t>DG41-00048C_TEST</t>
  </si>
  <si>
    <t>DVM_HOMEDUCT_WIFI_TEST</t>
  </si>
  <si>
    <t>1</t>
  </si>
  <si>
    <t>DB92-05165C</t>
  </si>
  <si>
    <t>DB92-05669A_R302,R320미삽</t>
  </si>
  <si>
    <t>행 레이블</t>
  </si>
  <si>
    <t>총합계</t>
  </si>
  <si>
    <t>합계 : OK</t>
  </si>
  <si>
    <t>합계 : NG</t>
  </si>
  <si>
    <t>OK</t>
    <phoneticPr fontId="2" type="noConversion"/>
  </si>
  <si>
    <t>NG</t>
    <phoneticPr fontId="2" type="noConversion"/>
  </si>
  <si>
    <t>PPM</t>
  </si>
  <si>
    <t>PPM</t>
    <phoneticPr fontId="2" type="noConversion"/>
  </si>
  <si>
    <t>합계 : PPM</t>
  </si>
  <si>
    <t>최신 데이터만</t>
  </si>
  <si>
    <t>2025-12-24 17:32:32</t>
  </si>
  <si>
    <t>DB92-05809A</t>
  </si>
  <si>
    <t>DG92-01531A</t>
  </si>
  <si>
    <t>장비명</t>
    <phoneticPr fontId="2" type="noConversion"/>
  </si>
  <si>
    <t>(비어 있음)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</si>
</sst>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\-mm\-dd"/>
  </numFmts>
  <fonts count="4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0" fillId="3" borderId="0" xfId="0" applyFill="1"/>
    <xf numFmtId="0" fontId="1" fillId="0" borderId="1" xfId="0" applyFont="1" applyBorder="1" applyAlignment="1">
      <alignment horizontal="center" vertical="top"/>
    </xf>
    <xf numFmtId="176" fontId="0" fillId="0" borderId="0" xfId="0" applyNumberFormat="1"/>
    <xf numFmtId="0" fontId="0" fillId="0" borderId="0" xfId="0" applyNumberFormat="1"/>
  </cellXfs>
  <cellStyles count="1">
    <cellStyle name="표준" xfId="0" builtinId="0"/>
  </cellStyles>
  <dxfs count="3">
    <dxf>
      <font>
        <b/>
        <i val="0"/>
        <sz val="12"/>
        <color theme="0"/>
        <name val="맑은 고딕"/>
        <family val="2"/>
        <charset val="129"/>
        <scheme val="minor"/>
      </font>
    </dxf>
    <dxf>
      <font>
        <color theme="0"/>
      </font>
      <fill>
        <patternFill patternType="solid">
          <fgColor theme="0"/>
          <bgColor theme="1" tint="0.24994659260841701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color theme="0"/>
      </font>
      <fill>
        <patternFill>
          <bgColor theme="1" tint="0.24994659260841701"/>
        </patternFill>
      </fill>
    </dxf>
  </dxfs>
  <tableStyles count="2" defaultTableStyle="TableStyleMedium9" defaultPivotStyle="PivotStyleLight16">
    <tableStyle name="Dark" pivot="0" table="0" count="7" xr9:uid="{014A5B6B-53EE-479A-8E6A-66824501B4AD}">
      <tableStyleElement type="wholeTable" dxfId="2"/>
    </tableStyle>
    <tableStyle name="DarkStyle" pivot="0" table="0" count="9" xr9:uid="{717A0A8A-1C74-44D5-8B16-8B05CE9FB13B}">
      <tableStyleElement type="wholeTable" dxfId="1"/>
      <tableStyleElement type="headerRow" dxfId="0"/>
    </tableStyle>
  </tableStyles>
  <colors>
    <mruColors>
      <color rgb="FFCB86DE"/>
      <color rgb="FFE6A4DE"/>
    </mruColors>
  </colors>
  <extLst>
    <ext xmlns:x14="http://schemas.microsoft.com/office/spreadsheetml/2009/9/main" uri="{46F421CA-312F-682f-3DD2-61675219B42D}">
      <x14:dxfs count="6">
        <dxf>
          <font>
            <b/>
            <i val="0"/>
            <color theme="3" tint="-0.24994659260841701"/>
          </font>
          <fill>
            <gradientFill degree="90">
              <stop position="0">
                <color rgb="FFFFC000"/>
              </stop>
              <stop position="0.5">
                <color rgb="FFFFFF00"/>
              </stop>
              <stop position="1">
                <color rgb="FFFFC000"/>
              </stop>
            </gradientFill>
          </fill>
        </dxf>
        <dxf>
          <font>
            <b/>
            <i val="0"/>
            <color theme="3" tint="-0.24994659260841701"/>
          </font>
          <fill>
            <gradientFill degree="90">
              <stop position="0">
                <color rgb="FFFFC000"/>
              </stop>
              <stop position="0.5">
                <color rgb="FFFFFF00"/>
              </stop>
              <stop position="1">
                <color rgb="FFFFC000"/>
              </stop>
            </gradientFill>
          </fill>
        </dxf>
        <dxf>
          <font>
            <b/>
            <i val="0"/>
            <color theme="3" tint="-0.24994659260841701"/>
          </font>
          <fill>
            <gradientFill degree="90">
              <stop position="0">
                <color rgb="FFFFC000"/>
              </stop>
              <stop position="0.5">
                <color rgb="FFFFFF00"/>
              </stop>
              <stop position="1">
                <color rgb="FFFFC000"/>
              </stop>
            </gradientFill>
          </fill>
        </dxf>
        <dxf>
          <font>
            <b/>
            <i val="0"/>
            <color theme="3" tint="-0.24994659260841701"/>
          </font>
          <fill>
            <gradientFill degree="90">
              <stop position="0">
                <color rgb="FFFFC000"/>
              </stop>
              <stop position="0.5">
                <color rgb="FFFFFF00"/>
              </stop>
              <stop position="1">
                <color rgb="FFFFC000"/>
              </stop>
            </gradientFill>
          </fill>
        </dxf>
        <dxf>
          <font>
            <b/>
            <i val="0"/>
            <color theme="1"/>
          </font>
          <fill>
            <patternFill>
              <bgColor theme="0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color theme="1"/>
          </font>
          <fill>
            <patternFill>
              <bgColor theme="0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Dark">
          <x14:slicerStyleElements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gradientFill degree="90">
              <stop position="0">
                <color rgb="FFFFC000"/>
              </stop>
              <stop position="0.5">
                <color rgb="FFFFFF00"/>
              </stop>
              <stop position="1">
                <color rgb="FFFFC000"/>
              </stop>
            </gradientFill>
          </fill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gradientFill degree="90">
              <stop position="0">
                <color rgb="FFFFC000"/>
              </stop>
              <stop position="0.5">
                <color rgb="FFFFFF00"/>
              </stop>
              <stop position="1">
                <color rgb="FFFFC000"/>
              </stop>
            </gradientFill>
          </fill>
        </dxf>
        <dxf>
          <font>
            <sz val="9"/>
            <color theme="0"/>
            <name val="맑은 고딕"/>
            <family val="2"/>
            <charset val="129"/>
            <scheme val="minor"/>
          </font>
        </dxf>
        <dxf>
          <font>
            <sz val="9"/>
            <color theme="0"/>
            <name val="맑은 고딕"/>
            <family val="2"/>
            <charset val="129"/>
            <scheme val="minor"/>
          </font>
        </dxf>
        <dxf>
          <font>
            <sz val="9"/>
            <color theme="0"/>
            <name val="맑은 고딕"/>
            <family val="2"/>
            <charset val="129"/>
            <scheme val="minor"/>
          </font>
        </dxf>
        <dxf>
          <font>
            <sz val="10"/>
            <color theme="0"/>
            <name val="맑은 고딕"/>
            <family val="2"/>
            <charset val="129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DarkStyle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[DashBoard_PPM.xltx]pivot!피벗 테이블2</c:name>
    <c:fmtId val="14"/>
  </c:pivotSource>
  <c:chart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0" cap="rnd">
            <a:solidFill>
              <a:srgbClr val="7030A0">
                <a:alpha val="5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27000" cap="rnd">
            <a:solidFill>
              <a:srgbClr val="7030A0">
                <a:alpha val="5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0" cap="rnd">
            <a:solidFill>
              <a:srgbClr val="7030A0">
                <a:alpha val="5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0">
            <a:solidFill>
              <a:srgbClr val="CB86DE">
                <a:alpha val="69804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63500" cap="rnd">
            <a:solidFill>
              <a:srgbClr val="CB86DE">
                <a:alpha val="5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268646019305635E-2"/>
          <c:y val="5.9202735302634091E-2"/>
          <c:w val="0.84824361860914732"/>
          <c:h val="0.839068605786341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합계 : OK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pivot!$A$4</c:f>
              <c:strCache>
                <c:ptCount val="1"/>
                <c:pt idx="0">
                  <c:v>총합계</c:v>
                </c:pt>
              </c:strCache>
            </c:strRef>
          </c:cat>
          <c:val>
            <c:numRef>
              <c:f>pivot!$B$4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2F4-4DE1-8C1F-5D934C3567C4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합계 : 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pivot!$A$4</c:f>
              <c:strCache>
                <c:ptCount val="1"/>
                <c:pt idx="0">
                  <c:v>총합계</c:v>
                </c:pt>
              </c:strCache>
            </c:strRef>
          </c:cat>
          <c:val>
            <c:numRef>
              <c:f>pivot!$C$4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2F4-4DE1-8C1F-5D934C356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1907231"/>
        <c:axId val="1241899551"/>
      </c:barChart>
      <c:lineChart>
        <c:grouping val="standard"/>
        <c:varyColors val="0"/>
        <c:ser>
          <c:idx val="2"/>
          <c:order val="2"/>
          <c:tx>
            <c:strRef>
              <c:f>pivot!$D$3</c:f>
              <c:strCache>
                <c:ptCount val="1"/>
                <c:pt idx="0">
                  <c:v>합계 : PPM</c:v>
                </c:pt>
              </c:strCache>
            </c:strRef>
          </c:tx>
          <c:spPr>
            <a:ln w="63500" cap="rnd">
              <a:solidFill>
                <a:srgbClr val="CB86DE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34925" cap="rnd">
                <a:solidFill>
                  <a:schemeClr val="bg1"/>
                </a:solidFill>
                <a:prstDash val="sysDot"/>
              </a:ln>
              <a:effectLst/>
            </c:spPr>
            <c:trendlineType val="movingAvg"/>
            <c:period val="5"/>
            <c:dispRSqr val="0"/>
            <c:dispEq val="0"/>
          </c:trendline>
          <c:cat>
            <c:strRef>
              <c:f>pivot!$A$4</c:f>
              <c:strCache>
                <c:ptCount val="1"/>
                <c:pt idx="0">
                  <c:v>총합계</c:v>
                </c:pt>
              </c:strCache>
            </c:strRef>
          </c:cat>
          <c:val>
            <c:numRef>
              <c:f>pivot!$D$4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04-4072-BDEF-5A7A06890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681328"/>
        <c:axId val="1805682288"/>
      </c:lineChart>
      <c:catAx>
        <c:axId val="124190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1899551"/>
        <c:crosses val="autoZero"/>
        <c:auto val="1"/>
        <c:lblAlgn val="ctr"/>
        <c:lblOffset val="100"/>
        <c:noMultiLvlLbl val="0"/>
      </c:catAx>
      <c:valAx>
        <c:axId val="124189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1907231"/>
        <c:crosses val="autoZero"/>
        <c:crossBetween val="between"/>
      </c:valAx>
      <c:valAx>
        <c:axId val="180568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5681328"/>
        <c:crosses val="max"/>
        <c:crossBetween val="between"/>
      </c:valAx>
      <c:catAx>
        <c:axId val="1805681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5682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639497195468157"/>
          <c:y val="0.38428774333660493"/>
          <c:w val="6.8938361541964602E-2"/>
          <c:h val="0.17897857345523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85000"/>
        <a:lumOff val="15000"/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19933000550879"/>
          <c:y val="5.5681821503329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 algn="ctr">
            <a:defRPr sz="2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pivot!$F$4</c:f>
              <c:strCache>
                <c:ptCount val="1"/>
                <c:pt idx="0">
                  <c:v>PPM : </c:v>
                </c:pt>
              </c:strCache>
            </c:strRef>
          </c:tx>
          <c:dPt>
            <c:idx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CE0-446C-B9DB-50FE4E3A22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CE0-446C-B9DB-50FE4E3A22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pivot!$G$3:$H$3</c:f>
              <c:strCache>
                <c:ptCount val="2"/>
                <c:pt idx="0">
                  <c:v>OK</c:v>
                </c:pt>
                <c:pt idx="1">
                  <c:v>NG</c:v>
                </c:pt>
              </c:strCache>
            </c:strRef>
          </c:cat>
          <c:val>
            <c:numRef>
              <c:f>pivot!$G$4:$H$4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E0-446C-B9DB-50FE4E3A2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343990103507262"/>
          <c:y val="0.84919475359071539"/>
          <c:w val="0.65311989591286435"/>
          <c:h val="8.7168878976907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85000"/>
        <a:lumOff val="15000"/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34</xdr:col>
      <xdr:colOff>0</xdr:colOff>
      <xdr:row>7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날짜 1">
              <a:extLst>
                <a:ext uri="{FF2B5EF4-FFF2-40B4-BE49-F238E27FC236}">
                  <a16:creationId xmlns:a16="http://schemas.microsoft.com/office/drawing/2014/main" id="{F6458417-3D47-4C03-9FF9-22C69E8137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날짜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48857" y="0"/>
              <a:ext cx="19866429" cy="15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시간 표시 막대: Excel 2013 이상에서 작동합니다. 이동하거나 크기를 조정하지 마세요.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0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장비명 1">
              <a:extLst>
                <a:ext uri="{FF2B5EF4-FFF2-40B4-BE49-F238E27FC236}">
                  <a16:creationId xmlns:a16="http://schemas.microsoft.com/office/drawing/2014/main" id="{37A7E582-CC44-49EF-B7E2-483F70013A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장비명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648857" cy="304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0</xdr:colOff>
      <xdr:row>29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모델명 1">
              <a:extLst>
                <a:ext uri="{FF2B5EF4-FFF2-40B4-BE49-F238E27FC236}">
                  <a16:creationId xmlns:a16="http://schemas.microsoft.com/office/drawing/2014/main" id="{1205E5B9-FB3D-4C0C-80C5-304CF04E1E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모델명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0"/>
              <a:ext cx="2648857" cy="32657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9</xdr:col>
      <xdr:colOff>-1</xdr:colOff>
      <xdr:row>7</xdr:row>
      <xdr:rowOff>1</xdr:rowOff>
    </xdr:from>
    <xdr:to>
      <xdr:col>34</xdr:col>
      <xdr:colOff>0</xdr:colOff>
      <xdr:row>29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591C4945-2416-4AFF-8C1E-B95E825A2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7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C665F86E-C321-4D31-935C-476787127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윤대영" refreshedDate="46020.461323958334" createdVersion="8" refreshedVersion="8" minRefreshableVersion="3" recordCount="259" xr:uid="{EA66B929-6145-4537-8F7C-D12343623624}">
  <cacheSource type="worksheet">
    <worksheetSource ref="A1:G1048576" sheet="일별 수율 데이터"/>
  </cacheSource>
  <cacheFields count="9">
    <cacheField name="장비명" numFmtId="0">
      <sharedItems containsNonDate="0" containsBlank="1" count="3">
        <m/>
        <s v="MI-01" u="1"/>
        <s v="MI-02" u="1"/>
      </sharedItems>
    </cacheField>
    <cacheField name="모델명" numFmtId="0">
      <sharedItems containsNonDate="0" containsBlank="1" count="29">
        <m/>
        <s v="DB92-05165A" u="1"/>
        <s v="DB92-05596E" u="1"/>
        <s v="DB92-05606A" u="1"/>
        <s v="DB92-05606D" u="1"/>
        <s v="DB92-05606E" u="1"/>
        <s v="DB92-05607A" u="1"/>
        <s v="DB92-05607B" u="1"/>
        <s v="DB92-05607C" u="1"/>
        <s v="DB92-05608A" u="1"/>
        <s v="DB92-05669A" u="1"/>
        <s v="DB92-05679A" u="1"/>
        <s v="DB92-05679B" u="1"/>
        <s v="DB92-05685A" u="1"/>
        <s v="DB92-05685B" u="1"/>
        <s v="DB92-05685C" u="1"/>
        <s v="DB92-05703A" u="1"/>
        <s v="DB92-05703C" u="1"/>
        <s v="DB92-05775A" u="1"/>
        <s v="DB92-05775B" u="1"/>
        <s v="DB92-05806A" u="1"/>
        <s v="DB92-05806B" u="1"/>
        <s v="DG41-00048C_TEST" u="1"/>
        <s v="DVM_HOMEDUCT_WIFI_TEST" u="1"/>
        <s v="1" u="1"/>
        <s v="DB92-05165C" u="1"/>
        <s v="DB92-05669A_R302,R320미삽" u="1"/>
        <s v="DB92-05809A" u="1"/>
        <s v="DG92-01531A" u="1"/>
      </sharedItems>
    </cacheField>
    <cacheField name="날짜" numFmtId="0">
      <sharedItems containsNonDate="0" containsDate="1" containsString="0" containsBlank="1" minDate="1905-01-01T00:00:00" maxDate="2025-12-25T00:00:00" count="86">
        <m/>
        <d v="2025-09-02T00:00:00" u="1"/>
        <d v="2025-10-15T00:00:00" u="1"/>
        <d v="2025-12-10T00:00:00" u="1"/>
        <d v="2025-09-17T00:00:00" u="1"/>
        <d v="2025-09-18T00:00:00" u="1"/>
        <d v="2025-09-29T00:00:00" u="1"/>
        <d v="2025-12-15T00:00:00" u="1"/>
        <d v="2025-12-16T00:00:00" u="1"/>
        <d v="2025-09-01T00:00:00" u="1"/>
        <d v="2025-09-03T00:00:00" u="1"/>
        <d v="2025-09-04T00:00:00" u="1"/>
        <d v="2025-09-05T00:00:00" u="1"/>
        <d v="2025-09-08T00:00:00" u="1"/>
        <d v="2025-09-09T00:00:00" u="1"/>
        <d v="2025-09-10T00:00:00" u="1"/>
        <d v="2025-09-11T00:00:00" u="1"/>
        <d v="2025-09-12T00:00:00" u="1"/>
        <d v="2025-09-15T00:00:00" u="1"/>
        <d v="2025-09-16T00:00:00" u="1"/>
        <d v="2025-09-19T00:00:00" u="1"/>
        <d v="2025-09-22T00:00:00" u="1"/>
        <d v="2025-09-23T00:00:00" u="1"/>
        <d v="2025-09-24T00:00:00" u="1"/>
        <d v="2025-09-25T00:00:00" u="1"/>
        <d v="2025-09-26T00:00:00" u="1"/>
        <d v="2025-09-30T00:00:00" u="1"/>
        <d v="2025-10-01T00:00:00" u="1"/>
        <d v="2025-10-02T00:00:00" u="1"/>
        <d v="2025-10-10T00:00:00" u="1"/>
        <d v="2025-10-13T00:00:00" u="1"/>
        <d v="2025-10-14T00:00:00" u="1"/>
        <d v="2025-10-16T00:00:00" u="1"/>
        <d v="2025-10-17T00:00:00" u="1"/>
        <d v="2025-10-20T00:00:00" u="1"/>
        <d v="2025-10-21T00:00:00" u="1"/>
        <d v="2025-10-22T00:00:00" u="1"/>
        <d v="2025-10-23T00:00:00" u="1"/>
        <d v="2025-10-24T00:00:00" u="1"/>
        <d v="2025-10-27T00:00:00" u="1"/>
        <d v="2025-10-30T00:00:00" u="1"/>
        <d v="2025-10-31T00:00:00" u="1"/>
        <d v="2025-11-01T00:00:00" u="1"/>
        <d v="2025-11-04T00:00:00" u="1"/>
        <d v="2025-11-05T00:00:00" u="1"/>
        <d v="2025-11-06T00:00:00" u="1"/>
        <d v="2025-11-07T00:00:00" u="1"/>
        <d v="2025-11-10T00:00:00" u="1"/>
        <d v="2025-11-11T00:00:00" u="1"/>
        <d v="2025-11-13T00:00:00" u="1"/>
        <d v="2025-11-14T00:00:00" u="1"/>
        <d v="2025-11-15T00:00:00" u="1"/>
        <d v="2025-11-17T00:00:00" u="1"/>
        <d v="2025-11-18T00:00:00" u="1"/>
        <d v="2025-11-19T00:00:00" u="1"/>
        <d v="2025-11-20T00:00:00" u="1"/>
        <d v="2025-11-21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4T00:00:00" u="1"/>
        <d v="2025-12-05T00:00:00" u="1"/>
        <d v="2025-12-08T00:00:00" u="1"/>
        <d v="2025-12-09T00:00:00" u="1"/>
        <d v="2025-12-11T00:00:00" u="1"/>
        <d v="2025-12-12T00:00:00" u="1"/>
        <d v="2025-12-17T00:00:00" u="1"/>
        <d v="2025-12-18T00:00:00" u="1"/>
        <d v="2025-12-19T00:00:00" u="1"/>
        <d v="2025-12-24T00:00:00" u="1"/>
        <d v="2025-10-28T00:00:00" u="1"/>
        <d v="2025-12-23T00:00:00" u="1"/>
        <d v="2025-11-25T00:00:00" u="1"/>
        <d v="2025-10-25T00:00:00" u="1"/>
        <d v="2025-11-12T00:00:00" u="1"/>
        <d v="2025-12-22T00:00:00" u="1"/>
        <d v="2025-10-29T00:00:00" u="1"/>
        <d v="2025-11-24T00:00:00" u="1"/>
        <d v="2025-12-13T00:00:00" u="1"/>
        <d v="2025-11-03T00:00:00" u="1"/>
        <d v="2025-08-29T00:00:00" u="1"/>
        <d v="2025-08-27T00:00:00" u="1"/>
        <d v="2025-08-28T00:00:00" u="1"/>
      </sharedItems>
      <fieldGroup par="8"/>
    </cacheField>
    <cacheField name="OK" numFmtId="0">
      <sharedItems containsNonDate="0" containsString="0" containsBlank="1"/>
    </cacheField>
    <cacheField name="NG" numFmtId="0">
      <sharedItems containsNonDate="0" containsString="0" containsBlank="1"/>
    </cacheField>
    <cacheField name="TOTAL" numFmtId="0">
      <sharedItems containsNonDate="0" containsString="0" containsBlank="1"/>
    </cacheField>
    <cacheField name="PPM" numFmtId="0">
      <sharedItems containsNonDate="0" containsString="0" containsBlank="1"/>
    </cacheField>
    <cacheField name="일(날짜)" numFmtId="0" databaseField="0">
      <fieldGroup base="2">
        <rangePr groupBy="days" startDate="1905-01-01T00:00:00" endDate="1905-01-01T00:00:00"/>
        <groupItems count="368">
          <s v="&lt;1905-01-01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1905-01-01"/>
        </groupItems>
      </fieldGroup>
    </cacheField>
    <cacheField name="개월(날짜)" numFmtId="0" databaseField="0">
      <fieldGroup base="2">
        <rangePr groupBy="months" startDate="1905-01-01T00:00:00" endDate="1905-01-01T00:00:00"/>
        <groupItems count="14">
          <s v="&lt;1905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1905-01-01"/>
        </groupItems>
      </fieldGroup>
    </cacheField>
  </cacheFields>
  <extLst>
    <ext xmlns:x14="http://schemas.microsoft.com/office/spreadsheetml/2009/9/main" uri="{725AE2AE-9491-48be-B2B4-4EB974FC3084}">
      <x14:pivotCacheDefinition pivotCacheId="206402367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  <r>
    <x v="0"/>
    <x v="0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2DF8C5-990B-4C15-9D07-E28E725C6A47}" name="피벗 테이블2" cacheId="6" applyNumberFormats="0" applyBorderFormats="0" applyFontFormats="0" applyPatternFormats="0" applyAlignmentFormats="0" applyWidthHeightFormats="1" dataCaption="값" updatedVersion="8" minRefreshableVersion="5" useAutoFormatting="1" itemPrintTitles="1" createdVersion="8" indent="0" outline="1" outlineData="1" multipleFieldFilters="0" chartFormat="58">
  <location ref="A3:D4" firstHeaderRow="0" firstDataRow="1" firstDataCol="1" rowPageCount="1" colPageCount="1"/>
  <pivotFields count="9">
    <pivotField axis="axisPage" multipleItemSelectionAllowed="1" showAll="0">
      <items count="4">
        <item m="1" x="1"/>
        <item m="1" x="2"/>
        <item x="0"/>
        <item t="default"/>
      </items>
    </pivotField>
    <pivotField axis="axisRow" multipleItemSelectionAllowed="1" showAll="0">
      <items count="30">
        <item m="1" x="24"/>
        <item m="1" x="1"/>
        <item m="1" x="25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26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x="0"/>
        <item m="1" x="27"/>
        <item m="1" x="28"/>
        <item t="default"/>
      </items>
    </pivotField>
    <pivotField axis="axisRow" showAll="0">
      <items count="87">
        <item m="1" x="84"/>
        <item m="1" x="85"/>
        <item m="1" x="83"/>
        <item m="1" x="9"/>
        <item m="1" x="1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"/>
        <item m="1" x="5"/>
        <item m="1" x="20"/>
        <item m="1" x="21"/>
        <item m="1" x="22"/>
        <item m="1" x="23"/>
        <item m="1" x="24"/>
        <item m="1" x="25"/>
        <item m="1" x="6"/>
        <item m="1" x="26"/>
        <item m="1" x="27"/>
        <item m="1" x="28"/>
        <item m="1" x="29"/>
        <item m="1" x="30"/>
        <item m="1" x="31"/>
        <item m="1" x="2"/>
        <item m="1" x="32"/>
        <item m="1" x="33"/>
        <item m="1" x="34"/>
        <item m="1" x="35"/>
        <item m="1" x="36"/>
        <item m="1" x="37"/>
        <item m="1" x="38"/>
        <item m="1" x="76"/>
        <item m="1" x="39"/>
        <item m="1" x="73"/>
        <item m="1" x="79"/>
        <item m="1" x="40"/>
        <item m="1" x="41"/>
        <item m="1" x="42"/>
        <item m="1" x="82"/>
        <item m="1" x="43"/>
        <item m="1" x="44"/>
        <item m="1" x="45"/>
        <item m="1" x="46"/>
        <item m="1" x="47"/>
        <item m="1" x="48"/>
        <item m="1" x="77"/>
        <item m="1" x="49"/>
        <item m="1" x="50"/>
        <item m="1" x="51"/>
        <item m="1" x="52"/>
        <item m="1" x="53"/>
        <item m="1" x="54"/>
        <item m="1" x="55"/>
        <item m="1" x="56"/>
        <item m="1" x="80"/>
        <item m="1" x="75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3"/>
        <item m="1" x="67"/>
        <item m="1" x="68"/>
        <item m="1" x="81"/>
        <item m="1" x="7"/>
        <item m="1" x="8"/>
        <item x="0"/>
        <item m="1" x="69"/>
        <item m="1" x="70"/>
        <item m="1" x="71"/>
        <item m="1" x="72"/>
        <item m="1" x="74"/>
        <item m="1" x="78"/>
        <item t="default"/>
      </items>
    </pivotField>
    <pivotField dataField="1" showAll="0"/>
    <pivotField dataField="1" showAll="0"/>
    <pivotField showAll="0"/>
    <pivotField dataField="1"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합계 : OK" fld="3" baseField="0" baseItem="0"/>
    <dataField name="합계 : NG" fld="4" baseField="0" baseItem="0"/>
    <dataField name="합계 : PPM" fld="6" baseField="0" baseItem="0"/>
  </dataFields>
  <chartFormats count="165"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8"/>
          </reference>
        </references>
      </pivotArea>
    </chartFormat>
    <chartFormat chart="47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9"/>
          </reference>
        </references>
      </pivotArea>
    </chartFormat>
    <chartFormat chart="47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0"/>
          </reference>
        </references>
      </pivotArea>
    </chartFormat>
    <chartFormat chart="47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1"/>
          </reference>
        </references>
      </pivotArea>
    </chartFormat>
    <chartFormat chart="47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2"/>
          </reference>
        </references>
      </pivotArea>
    </chartFormat>
    <chartFormat chart="47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3"/>
          </reference>
        </references>
      </pivotArea>
    </chartFormat>
    <chartFormat chart="47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4"/>
          </reference>
        </references>
      </pivotArea>
    </chartFormat>
    <chartFormat chart="47" format="1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5"/>
          </reference>
        </references>
      </pivotArea>
    </chartFormat>
    <chartFormat chart="47" format="1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6"/>
          </reference>
        </references>
      </pivotArea>
    </chartFormat>
    <chartFormat chart="47" format="1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7"/>
          </reference>
        </references>
      </pivotArea>
    </chartFormat>
    <chartFormat chart="47" format="1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8"/>
          </reference>
        </references>
      </pivotArea>
    </chartFormat>
    <chartFormat chart="47" format="1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9"/>
          </reference>
        </references>
      </pivotArea>
    </chartFormat>
    <chartFormat chart="47" format="1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1"/>
          </reference>
        </references>
      </pivotArea>
    </chartFormat>
    <chartFormat chart="47" format="1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2"/>
          </reference>
        </references>
      </pivotArea>
    </chartFormat>
    <chartFormat chart="47" format="1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3"/>
          </reference>
        </references>
      </pivotArea>
    </chartFormat>
    <chartFormat chart="47" format="1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4"/>
          </reference>
        </references>
      </pivotArea>
    </chartFormat>
    <chartFormat chart="47" format="2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5"/>
          </reference>
        </references>
      </pivotArea>
    </chartFormat>
    <chartFormat chart="47" format="2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6"/>
          </reference>
        </references>
      </pivotArea>
    </chartFormat>
    <chartFormat chart="47" format="2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7"/>
          </reference>
        </references>
      </pivotArea>
    </chartFormat>
    <chartFormat chart="47" format="2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9"/>
          </reference>
        </references>
      </pivotArea>
    </chartFormat>
    <chartFormat chart="47" format="2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2"/>
          </reference>
        </references>
      </pivotArea>
    </chartFormat>
    <chartFormat chart="47" format="2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3"/>
          </reference>
        </references>
      </pivotArea>
    </chartFormat>
    <chartFormat chart="47" format="2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4"/>
          </reference>
        </references>
      </pivotArea>
    </chartFormat>
    <chartFormat chart="47" format="2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6"/>
          </reference>
        </references>
      </pivotArea>
    </chartFormat>
    <chartFormat chart="47" format="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29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18"/>
          </reference>
        </references>
      </pivotArea>
    </chartFormat>
    <chartFormat chart="47" format="30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19"/>
          </reference>
        </references>
      </pivotArea>
    </chartFormat>
    <chartFormat chart="47" format="3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0"/>
          </reference>
        </references>
      </pivotArea>
    </chartFormat>
    <chartFormat chart="47" format="32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1"/>
          </reference>
        </references>
      </pivotArea>
    </chartFormat>
    <chartFormat chart="47" format="33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2"/>
          </reference>
        </references>
      </pivotArea>
    </chartFormat>
    <chartFormat chart="47" format="34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3"/>
          </reference>
        </references>
      </pivotArea>
    </chartFormat>
    <chartFormat chart="47" format="35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4"/>
          </reference>
        </references>
      </pivotArea>
    </chartFormat>
    <chartFormat chart="47" format="36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5"/>
          </reference>
        </references>
      </pivotArea>
    </chartFormat>
    <chartFormat chart="47" format="37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6"/>
          </reference>
        </references>
      </pivotArea>
    </chartFormat>
    <chartFormat chart="47" format="38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7"/>
          </reference>
        </references>
      </pivotArea>
    </chartFormat>
    <chartFormat chart="47" format="39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8"/>
          </reference>
        </references>
      </pivotArea>
    </chartFormat>
    <chartFormat chart="47" format="40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9"/>
          </reference>
        </references>
      </pivotArea>
    </chartFormat>
    <chartFormat chart="47" format="4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1"/>
          </reference>
        </references>
      </pivotArea>
    </chartFormat>
    <chartFormat chart="47" format="42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2"/>
          </reference>
        </references>
      </pivotArea>
    </chartFormat>
    <chartFormat chart="47" format="43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3"/>
          </reference>
        </references>
      </pivotArea>
    </chartFormat>
    <chartFormat chart="47" format="44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4"/>
          </reference>
        </references>
      </pivotArea>
    </chartFormat>
    <chartFormat chart="47" format="45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5"/>
          </reference>
        </references>
      </pivotArea>
    </chartFormat>
    <chartFormat chart="47" format="46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6"/>
          </reference>
        </references>
      </pivotArea>
    </chartFormat>
    <chartFormat chart="47" format="47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7"/>
          </reference>
        </references>
      </pivotArea>
    </chartFormat>
    <chartFormat chart="47" format="48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9"/>
          </reference>
        </references>
      </pivotArea>
    </chartFormat>
    <chartFormat chart="47" format="49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2"/>
          </reference>
        </references>
      </pivotArea>
    </chartFormat>
    <chartFormat chart="47" format="50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3"/>
          </reference>
        </references>
      </pivotArea>
    </chartFormat>
    <chartFormat chart="47" format="5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4"/>
          </reference>
        </references>
      </pivotArea>
    </chartFormat>
    <chartFormat chart="47" format="52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6"/>
          </reference>
        </references>
      </pivotArea>
    </chartFormat>
    <chartFormat chart="48" format="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7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8"/>
          </reference>
        </references>
      </pivotArea>
    </chartFormat>
    <chartFormat chart="48" format="8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9"/>
          </reference>
        </references>
      </pivotArea>
    </chartFormat>
    <chartFormat chart="48" format="8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0"/>
          </reference>
        </references>
      </pivotArea>
    </chartFormat>
    <chartFormat chart="48" format="8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1"/>
          </reference>
        </references>
      </pivotArea>
    </chartFormat>
    <chartFormat chart="48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2"/>
          </reference>
        </references>
      </pivotArea>
    </chartFormat>
    <chartFormat chart="48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3"/>
          </reference>
        </references>
      </pivotArea>
    </chartFormat>
    <chartFormat chart="48" format="8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4"/>
          </reference>
        </references>
      </pivotArea>
    </chartFormat>
    <chartFormat chart="48" format="8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5"/>
          </reference>
        </references>
      </pivotArea>
    </chartFormat>
    <chartFormat chart="48" format="8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6"/>
          </reference>
        </references>
      </pivotArea>
    </chartFormat>
    <chartFormat chart="48" format="8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7"/>
          </reference>
        </references>
      </pivotArea>
    </chartFormat>
    <chartFormat chart="48" format="8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8"/>
          </reference>
        </references>
      </pivotArea>
    </chartFormat>
    <chartFormat chart="48" format="9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9"/>
          </reference>
        </references>
      </pivotArea>
    </chartFormat>
    <chartFormat chart="48" format="9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1"/>
          </reference>
        </references>
      </pivotArea>
    </chartFormat>
    <chartFormat chart="48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2"/>
          </reference>
        </references>
      </pivotArea>
    </chartFormat>
    <chartFormat chart="48" format="9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3"/>
          </reference>
        </references>
      </pivotArea>
    </chartFormat>
    <chartFormat chart="48" format="9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4"/>
          </reference>
        </references>
      </pivotArea>
    </chartFormat>
    <chartFormat chart="48" format="9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5"/>
          </reference>
        </references>
      </pivotArea>
    </chartFormat>
    <chartFormat chart="48" format="9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6"/>
          </reference>
        </references>
      </pivotArea>
    </chartFormat>
    <chartFormat chart="48" format="9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7"/>
          </reference>
        </references>
      </pivotArea>
    </chartFormat>
    <chartFormat chart="48" format="9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9"/>
          </reference>
        </references>
      </pivotArea>
    </chartFormat>
    <chartFormat chart="48" format="9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2"/>
          </reference>
        </references>
      </pivotArea>
    </chartFormat>
    <chartFormat chart="48" format="10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3"/>
          </reference>
        </references>
      </pivotArea>
    </chartFormat>
    <chartFormat chart="48" format="10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4"/>
          </reference>
        </references>
      </pivotArea>
    </chartFormat>
    <chartFormat chart="48" format="10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6"/>
          </reference>
        </references>
      </pivotArea>
    </chartFormat>
    <chartFormat chart="48" format="10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104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18"/>
          </reference>
        </references>
      </pivotArea>
    </chartFormat>
    <chartFormat chart="48" format="105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19"/>
          </reference>
        </references>
      </pivotArea>
    </chartFormat>
    <chartFormat chart="48" format="106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0"/>
          </reference>
        </references>
      </pivotArea>
    </chartFormat>
    <chartFormat chart="48" format="107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1"/>
          </reference>
        </references>
      </pivotArea>
    </chartFormat>
    <chartFormat chart="48" format="108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2"/>
          </reference>
        </references>
      </pivotArea>
    </chartFormat>
    <chartFormat chart="48" format="109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3"/>
          </reference>
        </references>
      </pivotArea>
    </chartFormat>
    <chartFormat chart="48" format="110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4"/>
          </reference>
        </references>
      </pivotArea>
    </chartFormat>
    <chartFormat chart="48" format="11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5"/>
          </reference>
        </references>
      </pivotArea>
    </chartFormat>
    <chartFormat chart="48" format="112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6"/>
          </reference>
        </references>
      </pivotArea>
    </chartFormat>
    <chartFormat chart="48" format="113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7"/>
          </reference>
        </references>
      </pivotArea>
    </chartFormat>
    <chartFormat chart="48" format="114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8"/>
          </reference>
        </references>
      </pivotArea>
    </chartFormat>
    <chartFormat chart="48" format="115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9"/>
          </reference>
        </references>
      </pivotArea>
    </chartFormat>
    <chartFormat chart="48" format="116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1"/>
          </reference>
        </references>
      </pivotArea>
    </chartFormat>
    <chartFormat chart="48" format="117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2"/>
          </reference>
        </references>
      </pivotArea>
    </chartFormat>
    <chartFormat chart="48" format="118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3"/>
          </reference>
        </references>
      </pivotArea>
    </chartFormat>
    <chartFormat chart="48" format="119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4"/>
          </reference>
        </references>
      </pivotArea>
    </chartFormat>
    <chartFormat chart="48" format="120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5"/>
          </reference>
        </references>
      </pivotArea>
    </chartFormat>
    <chartFormat chart="48" format="12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6"/>
          </reference>
        </references>
      </pivotArea>
    </chartFormat>
    <chartFormat chart="48" format="122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7"/>
          </reference>
        </references>
      </pivotArea>
    </chartFormat>
    <chartFormat chart="48" format="123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9"/>
          </reference>
        </references>
      </pivotArea>
    </chartFormat>
    <chartFormat chart="48" format="124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2"/>
          </reference>
        </references>
      </pivotArea>
    </chartFormat>
    <chartFormat chart="48" format="125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3"/>
          </reference>
        </references>
      </pivotArea>
    </chartFormat>
    <chartFormat chart="48" format="126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4"/>
          </reference>
        </references>
      </pivotArea>
    </chartFormat>
    <chartFormat chart="48" format="127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6"/>
          </reference>
        </references>
      </pivotArea>
    </chartFormat>
    <chartFormat chart="49" format="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7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8"/>
          </reference>
        </references>
      </pivotArea>
    </chartFormat>
    <chartFormat chart="49" format="8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9"/>
          </reference>
        </references>
      </pivotArea>
    </chartFormat>
    <chartFormat chart="49" format="8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0"/>
          </reference>
        </references>
      </pivotArea>
    </chartFormat>
    <chartFormat chart="49" format="8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1"/>
          </reference>
        </references>
      </pivotArea>
    </chartFormat>
    <chartFormat chart="49" format="8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2"/>
          </reference>
        </references>
      </pivotArea>
    </chartFormat>
    <chartFormat chart="49" format="8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3"/>
          </reference>
        </references>
      </pivotArea>
    </chartFormat>
    <chartFormat chart="49" format="8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4"/>
          </reference>
        </references>
      </pivotArea>
    </chartFormat>
    <chartFormat chart="49" format="8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5"/>
          </reference>
        </references>
      </pivotArea>
    </chartFormat>
    <chartFormat chart="49" format="8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6"/>
          </reference>
        </references>
      </pivotArea>
    </chartFormat>
    <chartFormat chart="49" format="8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7"/>
          </reference>
        </references>
      </pivotArea>
    </chartFormat>
    <chartFormat chart="49" format="8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8"/>
          </reference>
        </references>
      </pivotArea>
    </chartFormat>
    <chartFormat chart="49" format="9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9"/>
          </reference>
        </references>
      </pivotArea>
    </chartFormat>
    <chartFormat chart="49" format="9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1"/>
          </reference>
        </references>
      </pivotArea>
    </chartFormat>
    <chartFormat chart="49" format="9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2"/>
          </reference>
        </references>
      </pivotArea>
    </chartFormat>
    <chartFormat chart="49" format="93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3"/>
          </reference>
        </references>
      </pivotArea>
    </chartFormat>
    <chartFormat chart="49" format="94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4"/>
          </reference>
        </references>
      </pivotArea>
    </chartFormat>
    <chartFormat chart="49" format="95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5"/>
          </reference>
        </references>
      </pivotArea>
    </chartFormat>
    <chartFormat chart="49" format="9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6"/>
          </reference>
        </references>
      </pivotArea>
    </chartFormat>
    <chartFormat chart="49" format="97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7"/>
          </reference>
        </references>
      </pivotArea>
    </chartFormat>
    <chartFormat chart="49" format="98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9"/>
          </reference>
        </references>
      </pivotArea>
    </chartFormat>
    <chartFormat chart="49" format="99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2"/>
          </reference>
        </references>
      </pivotArea>
    </chartFormat>
    <chartFormat chart="49" format="100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3"/>
          </reference>
        </references>
      </pivotArea>
    </chartFormat>
    <chartFormat chart="49" format="10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4"/>
          </reference>
        </references>
      </pivotArea>
    </chartFormat>
    <chartFormat chart="49" format="10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6"/>
          </reference>
        </references>
      </pivotArea>
    </chartFormat>
    <chartFormat chart="49" format="10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104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18"/>
          </reference>
        </references>
      </pivotArea>
    </chartFormat>
    <chartFormat chart="49" format="105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19"/>
          </reference>
        </references>
      </pivotArea>
    </chartFormat>
    <chartFormat chart="49" format="106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0"/>
          </reference>
        </references>
      </pivotArea>
    </chartFormat>
    <chartFormat chart="49" format="107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1"/>
          </reference>
        </references>
      </pivotArea>
    </chartFormat>
    <chartFormat chart="49" format="108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2"/>
          </reference>
        </references>
      </pivotArea>
    </chartFormat>
    <chartFormat chart="49" format="109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3"/>
          </reference>
        </references>
      </pivotArea>
    </chartFormat>
    <chartFormat chart="49" format="110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4"/>
          </reference>
        </references>
      </pivotArea>
    </chartFormat>
    <chartFormat chart="49" format="11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5"/>
          </reference>
        </references>
      </pivotArea>
    </chartFormat>
    <chartFormat chart="49" format="112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6"/>
          </reference>
        </references>
      </pivotArea>
    </chartFormat>
    <chartFormat chart="49" format="113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7"/>
          </reference>
        </references>
      </pivotArea>
    </chartFormat>
    <chartFormat chart="49" format="114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8"/>
          </reference>
        </references>
      </pivotArea>
    </chartFormat>
    <chartFormat chart="49" format="115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29"/>
          </reference>
        </references>
      </pivotArea>
    </chartFormat>
    <chartFormat chart="49" format="116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1"/>
          </reference>
        </references>
      </pivotArea>
    </chartFormat>
    <chartFormat chart="49" format="117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2"/>
          </reference>
        </references>
      </pivotArea>
    </chartFormat>
    <chartFormat chart="49" format="118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3"/>
          </reference>
        </references>
      </pivotArea>
    </chartFormat>
    <chartFormat chart="49" format="119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4"/>
          </reference>
        </references>
      </pivotArea>
    </chartFormat>
    <chartFormat chart="49" format="120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5"/>
          </reference>
        </references>
      </pivotArea>
    </chartFormat>
    <chartFormat chart="49" format="12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6"/>
          </reference>
        </references>
      </pivotArea>
    </chartFormat>
    <chartFormat chart="49" format="122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7"/>
          </reference>
        </references>
      </pivotArea>
    </chartFormat>
    <chartFormat chart="49" format="123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39"/>
          </reference>
        </references>
      </pivotArea>
    </chartFormat>
    <chartFormat chart="49" format="124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2"/>
          </reference>
        </references>
      </pivotArea>
    </chartFormat>
    <chartFormat chart="49" format="125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3"/>
          </reference>
        </references>
      </pivotArea>
    </chartFormat>
    <chartFormat chart="49" format="126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4"/>
          </reference>
        </references>
      </pivotArea>
    </chartFormat>
    <chartFormat chart="49" format="127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2" count="1" selected="0">
            <x v="46"/>
          </reference>
        </references>
      </pivotArea>
    </chartFormat>
    <chartFormat chart="5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172" name="날짜">
      <autoFilter ref="A1">
        <filterColumn colId="0">
          <customFilters and="1">
            <customFilter operator="greaterThanOrEqual" val="45689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장비명" xr10:uid="{0BC577EF-7535-4FCB-B0C2-63E265FF1E91}" sourceName="장비명">
  <pivotTables>
    <pivotTable tabId="4" name="피벗 테이블2"/>
  </pivotTables>
  <data>
    <tabular pivotCacheId="2064023671">
      <items count="3">
        <i x="1" s="1" nd="1"/>
        <i x="2" s="1" nd="1"/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모델명" xr10:uid="{58E3C53E-AD69-4303-9366-17489DE9A74E}" sourceName="모델명">
  <pivotTables>
    <pivotTable tabId="4" name="피벗 테이블2"/>
  </pivotTables>
  <data>
    <tabular pivotCacheId="2064023671">
      <items count="29">
        <i x="24" s="1" nd="1"/>
        <i x="1" s="1" nd="1"/>
        <i x="25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26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  <i x="27" s="1" nd="1"/>
        <i x="22" s="1" nd="1"/>
        <i x="28" s="1" nd="1"/>
        <i x="23" s="1" nd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장비명 1" xr10:uid="{1097FF8F-2B49-4830-8046-E176BA9AFCCA}" cache="슬라이서_장비명" caption="장비명" style="Dark" rowHeight="283633"/>
  <slicer name="모델명 1" xr10:uid="{5726178E-7667-407D-BE0B-0014EC4C2BCA}" cache="슬라이서_모델명" caption="모델명" startItem="20" style="Dark" rowHeight="283633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날짜" xr10:uid="{BD25910A-7E1A-4581-A164-FA7532539E9B}" sourceName="날짜">
  <pivotTables>
    <pivotTable tabId="4" name="피벗 테이블2"/>
  </pivotTables>
  <state minimalRefreshVersion="6" lastRefreshVersion="6" pivotCacheId="2064023671" filterType="dateBetween">
    <selection startDate="2025-02-01T00:00:00" endDate="2025-12-31T00:00:00"/>
    <bounds startDate="190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날짜 1" xr10:uid="{630268EB-1C46-406E-979D-9FA29B4C71BF}" cache="NativeTimeline_날짜" caption="날짜" level="2" selectionLevel="2" scrollPosition="2025-01-01T00:00:00" style="DarkStyle"/>
</timeline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"/>
  <sheetViews>
    <sheetView workbookViewId="0">
      <selection activeCell="G9" sqref="G9"/>
    </sheetView>
  </sheetViews>
  <sheetFormatPr defaultRowHeight="17" x14ac:dyDescent="0.45"/>
  <cols>
    <col min="1" max="1" width="8.5" bestFit="1" customWidth="1"/>
    <col min="2" max="2" width="18.75" bestFit="1" customWidth="1"/>
  </cols>
  <sheetData>
    <row r="1" spans="1:2" x14ac:dyDescent="0.45">
      <c r="A1" s="5" t="s">
        <v>0</v>
      </c>
      <c r="B1" s="5" t="s"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59"/>
  <sheetViews>
    <sheetView workbookViewId="0">
      <selection activeCell="A2" sqref="A2:G259"/>
    </sheetView>
  </sheetViews>
  <sheetFormatPr defaultRowHeight="17" x14ac:dyDescent="0.45"/>
  <cols>
    <col min="2" max="2" width="26.6640625" bestFit="1" customWidth="1"/>
    <col min="3" max="3" width="10.75" bestFit="1" customWidth="1"/>
    <col min="7" max="7" width="10.58203125" bestFit="1" customWidth="1"/>
  </cols>
  <sheetData>
    <row r="1" spans="1:7" x14ac:dyDescent="0.45">
      <c r="A1" s="5" t="s">
        <v>2</v>
      </c>
      <c r="B1" s="5" t="s">
        <v>3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48</v>
      </c>
    </row>
    <row r="2" spans="1:7" x14ac:dyDescent="0.45">
      <c r="C2" s="6"/>
    </row>
    <row r="3" spans="1:7" x14ac:dyDescent="0.45">
      <c r="C3" s="6"/>
    </row>
    <row r="4" spans="1:7" x14ac:dyDescent="0.45">
      <c r="C4" s="6"/>
    </row>
    <row r="5" spans="1:7" x14ac:dyDescent="0.45">
      <c r="C5" s="6"/>
    </row>
    <row r="6" spans="1:7" x14ac:dyDescent="0.45">
      <c r="C6" s="6"/>
    </row>
    <row r="7" spans="1:7" x14ac:dyDescent="0.45">
      <c r="C7" s="6"/>
    </row>
    <row r="8" spans="1:7" x14ac:dyDescent="0.45">
      <c r="C8" s="6"/>
    </row>
    <row r="9" spans="1:7" x14ac:dyDescent="0.45">
      <c r="C9" s="6"/>
    </row>
    <row r="10" spans="1:7" x14ac:dyDescent="0.45">
      <c r="C10" s="6"/>
    </row>
    <row r="11" spans="1:7" x14ac:dyDescent="0.45">
      <c r="C11" s="6"/>
    </row>
    <row r="12" spans="1:7" x14ac:dyDescent="0.45">
      <c r="C12" s="6"/>
    </row>
    <row r="13" spans="1:7" x14ac:dyDescent="0.45">
      <c r="C13" s="6"/>
    </row>
    <row r="14" spans="1:7" x14ac:dyDescent="0.45">
      <c r="C14" s="6"/>
    </row>
    <row r="15" spans="1:7" x14ac:dyDescent="0.45">
      <c r="C15" s="6"/>
    </row>
    <row r="16" spans="1:7" x14ac:dyDescent="0.45">
      <c r="C16" s="6"/>
    </row>
    <row r="17" spans="3:3" x14ac:dyDescent="0.45">
      <c r="C17" s="6"/>
    </row>
    <row r="18" spans="3:3" x14ac:dyDescent="0.45">
      <c r="C18" s="6"/>
    </row>
    <row r="19" spans="3:3" x14ac:dyDescent="0.45">
      <c r="C19" s="6"/>
    </row>
    <row r="20" spans="3:3" x14ac:dyDescent="0.45">
      <c r="C20" s="6"/>
    </row>
    <row r="21" spans="3:3" x14ac:dyDescent="0.45">
      <c r="C21" s="6"/>
    </row>
    <row r="22" spans="3:3" x14ac:dyDescent="0.45">
      <c r="C22" s="6"/>
    </row>
    <row r="23" spans="3:3" x14ac:dyDescent="0.45">
      <c r="C23" s="6"/>
    </row>
    <row r="24" spans="3:3" x14ac:dyDescent="0.45">
      <c r="C24" s="6"/>
    </row>
    <row r="25" spans="3:3" x14ac:dyDescent="0.45">
      <c r="C25" s="6"/>
    </row>
    <row r="26" spans="3:3" x14ac:dyDescent="0.45">
      <c r="C26" s="6"/>
    </row>
    <row r="27" spans="3:3" x14ac:dyDescent="0.45">
      <c r="C27" s="6"/>
    </row>
    <row r="28" spans="3:3" x14ac:dyDescent="0.45">
      <c r="C28" s="6"/>
    </row>
    <row r="29" spans="3:3" x14ac:dyDescent="0.45">
      <c r="C29" s="6"/>
    </row>
    <row r="30" spans="3:3" x14ac:dyDescent="0.45">
      <c r="C30" s="6"/>
    </row>
    <row r="31" spans="3:3" x14ac:dyDescent="0.45">
      <c r="C31" s="6"/>
    </row>
    <row r="32" spans="3:3" x14ac:dyDescent="0.45">
      <c r="C32" s="6"/>
    </row>
    <row r="33" spans="3:3" x14ac:dyDescent="0.45">
      <c r="C33" s="6"/>
    </row>
    <row r="34" spans="3:3" x14ac:dyDescent="0.45">
      <c r="C34" s="6"/>
    </row>
    <row r="35" spans="3:3" x14ac:dyDescent="0.45">
      <c r="C35" s="6"/>
    </row>
    <row r="36" spans="3:3" x14ac:dyDescent="0.45">
      <c r="C36" s="6"/>
    </row>
    <row r="37" spans="3:3" x14ac:dyDescent="0.45">
      <c r="C37" s="6"/>
    </row>
    <row r="38" spans="3:3" x14ac:dyDescent="0.45">
      <c r="C38" s="6"/>
    </row>
    <row r="39" spans="3:3" x14ac:dyDescent="0.45">
      <c r="C39" s="6"/>
    </row>
    <row r="40" spans="3:3" x14ac:dyDescent="0.45">
      <c r="C40" s="6"/>
    </row>
    <row r="41" spans="3:3" x14ac:dyDescent="0.45">
      <c r="C41" s="6"/>
    </row>
    <row r="42" spans="3:3" x14ac:dyDescent="0.45">
      <c r="C42" s="6"/>
    </row>
    <row r="43" spans="3:3" x14ac:dyDescent="0.45">
      <c r="C43" s="6"/>
    </row>
    <row r="44" spans="3:3" x14ac:dyDescent="0.45">
      <c r="C44" s="6"/>
    </row>
    <row r="45" spans="3:3" x14ac:dyDescent="0.45">
      <c r="C45" s="6"/>
    </row>
    <row r="46" spans="3:3" x14ac:dyDescent="0.45">
      <c r="C46" s="6"/>
    </row>
    <row r="47" spans="3:3" x14ac:dyDescent="0.45">
      <c r="C47" s="6"/>
    </row>
    <row r="48" spans="3:3" x14ac:dyDescent="0.45">
      <c r="C48" s="6"/>
    </row>
    <row r="49" spans="3:3" x14ac:dyDescent="0.45">
      <c r="C49" s="6"/>
    </row>
    <row r="50" spans="3:3" x14ac:dyDescent="0.45">
      <c r="C50" s="6"/>
    </row>
    <row r="51" spans="3:3" x14ac:dyDescent="0.45">
      <c r="C51" s="6"/>
    </row>
    <row r="52" spans="3:3" x14ac:dyDescent="0.45">
      <c r="C52" s="6"/>
    </row>
    <row r="53" spans="3:3" x14ac:dyDescent="0.45">
      <c r="C53" s="6"/>
    </row>
    <row r="54" spans="3:3" x14ac:dyDescent="0.45">
      <c r="C54" s="6"/>
    </row>
    <row r="55" spans="3:3" x14ac:dyDescent="0.45">
      <c r="C55" s="6"/>
    </row>
    <row r="56" spans="3:3" x14ac:dyDescent="0.45">
      <c r="C56" s="6"/>
    </row>
    <row r="57" spans="3:3" x14ac:dyDescent="0.45">
      <c r="C57" s="6"/>
    </row>
    <row r="58" spans="3:3" x14ac:dyDescent="0.45">
      <c r="C58" s="6"/>
    </row>
    <row r="59" spans="3:3" x14ac:dyDescent="0.45">
      <c r="C59" s="6"/>
    </row>
    <row r="60" spans="3:3" x14ac:dyDescent="0.45">
      <c r="C60" s="6"/>
    </row>
    <row r="61" spans="3:3" x14ac:dyDescent="0.45">
      <c r="C61" s="6"/>
    </row>
    <row r="62" spans="3:3" x14ac:dyDescent="0.45">
      <c r="C62" s="6"/>
    </row>
    <row r="63" spans="3:3" x14ac:dyDescent="0.45">
      <c r="C63" s="6"/>
    </row>
    <row r="64" spans="3:3" x14ac:dyDescent="0.45">
      <c r="C64" s="6"/>
    </row>
    <row r="65" spans="3:3" x14ac:dyDescent="0.45">
      <c r="C65" s="6"/>
    </row>
    <row r="66" spans="3:3" x14ac:dyDescent="0.45">
      <c r="C66" s="6"/>
    </row>
    <row r="67" spans="3:3" x14ac:dyDescent="0.45">
      <c r="C67" s="6"/>
    </row>
    <row r="68" spans="3:3" x14ac:dyDescent="0.45">
      <c r="C68" s="6"/>
    </row>
    <row r="69" spans="3:3" x14ac:dyDescent="0.45">
      <c r="C69" s="6"/>
    </row>
    <row r="70" spans="3:3" x14ac:dyDescent="0.45">
      <c r="C70" s="6"/>
    </row>
    <row r="71" spans="3:3" x14ac:dyDescent="0.45">
      <c r="C71" s="6"/>
    </row>
    <row r="72" spans="3:3" x14ac:dyDescent="0.45">
      <c r="C72" s="6"/>
    </row>
    <row r="73" spans="3:3" x14ac:dyDescent="0.45">
      <c r="C73" s="6"/>
    </row>
    <row r="74" spans="3:3" x14ac:dyDescent="0.45">
      <c r="C74" s="6"/>
    </row>
    <row r="75" spans="3:3" x14ac:dyDescent="0.45">
      <c r="C75" s="6"/>
    </row>
    <row r="76" spans="3:3" x14ac:dyDescent="0.45">
      <c r="C76" s="6"/>
    </row>
    <row r="77" spans="3:3" x14ac:dyDescent="0.45">
      <c r="C77" s="6"/>
    </row>
    <row r="78" spans="3:3" x14ac:dyDescent="0.45">
      <c r="C78" s="6"/>
    </row>
    <row r="79" spans="3:3" x14ac:dyDescent="0.45">
      <c r="C79" s="6"/>
    </row>
    <row r="80" spans="3:3" x14ac:dyDescent="0.45">
      <c r="C80" s="6"/>
    </row>
    <row r="81" spans="3:3" x14ac:dyDescent="0.45">
      <c r="C81" s="6"/>
    </row>
    <row r="82" spans="3:3" x14ac:dyDescent="0.45">
      <c r="C82" s="6"/>
    </row>
    <row r="83" spans="3:3" x14ac:dyDescent="0.45">
      <c r="C83" s="6"/>
    </row>
    <row r="84" spans="3:3" x14ac:dyDescent="0.45">
      <c r="C84" s="6"/>
    </row>
    <row r="85" spans="3:3" x14ac:dyDescent="0.45">
      <c r="C85" s="6"/>
    </row>
    <row r="86" spans="3:3" x14ac:dyDescent="0.45">
      <c r="C86" s="6"/>
    </row>
    <row r="87" spans="3:3" x14ac:dyDescent="0.45">
      <c r="C87" s="6"/>
    </row>
    <row r="88" spans="3:3" x14ac:dyDescent="0.45">
      <c r="C88" s="6"/>
    </row>
    <row r="89" spans="3:3" x14ac:dyDescent="0.45">
      <c r="C89" s="6"/>
    </row>
    <row r="90" spans="3:3" x14ac:dyDescent="0.45">
      <c r="C90" s="6"/>
    </row>
    <row r="91" spans="3:3" x14ac:dyDescent="0.45">
      <c r="C91" s="6"/>
    </row>
    <row r="92" spans="3:3" x14ac:dyDescent="0.45">
      <c r="C92" s="6"/>
    </row>
    <row r="93" spans="3:3" x14ac:dyDescent="0.45">
      <c r="C93" s="6"/>
    </row>
    <row r="94" spans="3:3" x14ac:dyDescent="0.45">
      <c r="C94" s="6"/>
    </row>
    <row r="95" spans="3:3" x14ac:dyDescent="0.45">
      <c r="C95" s="6"/>
    </row>
    <row r="96" spans="3:3" x14ac:dyDescent="0.45">
      <c r="C96" s="6"/>
    </row>
    <row r="97" spans="3:3" x14ac:dyDescent="0.45">
      <c r="C97" s="6"/>
    </row>
    <row r="98" spans="3:3" x14ac:dyDescent="0.45">
      <c r="C98" s="6"/>
    </row>
    <row r="99" spans="3:3" x14ac:dyDescent="0.45">
      <c r="C99" s="6"/>
    </row>
    <row r="100" spans="3:3" x14ac:dyDescent="0.45">
      <c r="C100" s="6"/>
    </row>
    <row r="101" spans="3:3" x14ac:dyDescent="0.45">
      <c r="C101" s="6"/>
    </row>
    <row r="102" spans="3:3" x14ac:dyDescent="0.45">
      <c r="C102" s="6"/>
    </row>
    <row r="103" spans="3:3" x14ac:dyDescent="0.45">
      <c r="C103" s="6"/>
    </row>
    <row r="104" spans="3:3" x14ac:dyDescent="0.45">
      <c r="C104" s="6"/>
    </row>
    <row r="105" spans="3:3" x14ac:dyDescent="0.45">
      <c r="C105" s="6"/>
    </row>
    <row r="106" spans="3:3" x14ac:dyDescent="0.45">
      <c r="C106" s="6"/>
    </row>
    <row r="107" spans="3:3" x14ac:dyDescent="0.45">
      <c r="C107" s="6"/>
    </row>
    <row r="108" spans="3:3" x14ac:dyDescent="0.45">
      <c r="C108" s="6"/>
    </row>
    <row r="109" spans="3:3" x14ac:dyDescent="0.45">
      <c r="C109" s="6"/>
    </row>
    <row r="110" spans="3:3" x14ac:dyDescent="0.45">
      <c r="C110" s="6"/>
    </row>
    <row r="111" spans="3:3" x14ac:dyDescent="0.45">
      <c r="C111" s="6"/>
    </row>
    <row r="112" spans="3:3" x14ac:dyDescent="0.45">
      <c r="C112" s="6"/>
    </row>
    <row r="113" spans="3:3" x14ac:dyDescent="0.45">
      <c r="C113" s="6"/>
    </row>
    <row r="114" spans="3:3" x14ac:dyDescent="0.45">
      <c r="C114" s="6"/>
    </row>
    <row r="115" spans="3:3" x14ac:dyDescent="0.45">
      <c r="C115" s="6"/>
    </row>
    <row r="116" spans="3:3" x14ac:dyDescent="0.45">
      <c r="C116" s="6"/>
    </row>
    <row r="117" spans="3:3" x14ac:dyDescent="0.45">
      <c r="C117" s="6"/>
    </row>
    <row r="118" spans="3:3" x14ac:dyDescent="0.45">
      <c r="C118" s="6"/>
    </row>
    <row r="119" spans="3:3" x14ac:dyDescent="0.45">
      <c r="C119" s="6"/>
    </row>
    <row r="120" spans="3:3" x14ac:dyDescent="0.45">
      <c r="C120" s="6"/>
    </row>
    <row r="121" spans="3:3" x14ac:dyDescent="0.45">
      <c r="C121" s="6"/>
    </row>
    <row r="122" spans="3:3" x14ac:dyDescent="0.45">
      <c r="C122" s="6"/>
    </row>
    <row r="123" spans="3:3" x14ac:dyDescent="0.45">
      <c r="C123" s="6"/>
    </row>
    <row r="124" spans="3:3" x14ac:dyDescent="0.45">
      <c r="C124" s="6"/>
    </row>
    <row r="125" spans="3:3" x14ac:dyDescent="0.45">
      <c r="C125" s="6"/>
    </row>
    <row r="126" spans="3:3" x14ac:dyDescent="0.45">
      <c r="C126" s="6"/>
    </row>
    <row r="127" spans="3:3" x14ac:dyDescent="0.45">
      <c r="C127" s="6"/>
    </row>
    <row r="128" spans="3:3" x14ac:dyDescent="0.45">
      <c r="C128" s="6"/>
    </row>
    <row r="129" spans="3:3" x14ac:dyDescent="0.45">
      <c r="C129" s="6"/>
    </row>
    <row r="130" spans="3:3" x14ac:dyDescent="0.45">
      <c r="C130" s="6"/>
    </row>
    <row r="131" spans="3:3" x14ac:dyDescent="0.45">
      <c r="C131" s="6"/>
    </row>
    <row r="132" spans="3:3" x14ac:dyDescent="0.45">
      <c r="C132" s="6"/>
    </row>
    <row r="133" spans="3:3" x14ac:dyDescent="0.45">
      <c r="C133" s="6"/>
    </row>
    <row r="134" spans="3:3" x14ac:dyDescent="0.45">
      <c r="C134" s="6"/>
    </row>
    <row r="135" spans="3:3" x14ac:dyDescent="0.45">
      <c r="C135" s="6"/>
    </row>
    <row r="136" spans="3:3" x14ac:dyDescent="0.45">
      <c r="C136" s="6"/>
    </row>
    <row r="137" spans="3:3" x14ac:dyDescent="0.45">
      <c r="C137" s="6"/>
    </row>
    <row r="138" spans="3:3" x14ac:dyDescent="0.45">
      <c r="C138" s="6"/>
    </row>
    <row r="139" spans="3:3" x14ac:dyDescent="0.45">
      <c r="C139" s="6"/>
    </row>
    <row r="140" spans="3:3" x14ac:dyDescent="0.45">
      <c r="C140" s="6"/>
    </row>
    <row r="141" spans="3:3" x14ac:dyDescent="0.45">
      <c r="C141" s="6"/>
    </row>
    <row r="142" spans="3:3" x14ac:dyDescent="0.45">
      <c r="C142" s="6"/>
    </row>
    <row r="143" spans="3:3" x14ac:dyDescent="0.45">
      <c r="C143" s="6"/>
    </row>
    <row r="144" spans="3:3" x14ac:dyDescent="0.45">
      <c r="C144" s="6"/>
    </row>
    <row r="145" spans="3:3" x14ac:dyDescent="0.45">
      <c r="C145" s="6"/>
    </row>
    <row r="146" spans="3:3" x14ac:dyDescent="0.45">
      <c r="C146" s="6"/>
    </row>
    <row r="147" spans="3:3" x14ac:dyDescent="0.45">
      <c r="C147" s="6"/>
    </row>
    <row r="148" spans="3:3" x14ac:dyDescent="0.45">
      <c r="C148" s="6"/>
    </row>
    <row r="149" spans="3:3" x14ac:dyDescent="0.45">
      <c r="C149" s="6"/>
    </row>
    <row r="150" spans="3:3" x14ac:dyDescent="0.45">
      <c r="C150" s="6"/>
    </row>
    <row r="151" spans="3:3" x14ac:dyDescent="0.45">
      <c r="C151" s="6"/>
    </row>
    <row r="152" spans="3:3" x14ac:dyDescent="0.45">
      <c r="C152" s="6"/>
    </row>
    <row r="153" spans="3:3" x14ac:dyDescent="0.45">
      <c r="C153" s="6"/>
    </row>
    <row r="154" spans="3:3" x14ac:dyDescent="0.45">
      <c r="C154" s="6"/>
    </row>
    <row r="155" spans="3:3" x14ac:dyDescent="0.45">
      <c r="C155" s="6"/>
    </row>
    <row r="156" spans="3:3" x14ac:dyDescent="0.45">
      <c r="C156" s="6"/>
    </row>
    <row r="157" spans="3:3" x14ac:dyDescent="0.45">
      <c r="C157" s="6"/>
    </row>
    <row r="158" spans="3:3" x14ac:dyDescent="0.45">
      <c r="C158" s="6"/>
    </row>
    <row r="159" spans="3:3" x14ac:dyDescent="0.45">
      <c r="C159" s="6"/>
    </row>
    <row r="160" spans="3:3" x14ac:dyDescent="0.45">
      <c r="C160" s="6"/>
    </row>
    <row r="161" spans="3:3" x14ac:dyDescent="0.45">
      <c r="C161" s="6"/>
    </row>
    <row r="162" spans="3:3" x14ac:dyDescent="0.45">
      <c r="C162" s="6"/>
    </row>
    <row r="163" spans="3:3" x14ac:dyDescent="0.45">
      <c r="C163" s="6"/>
    </row>
    <row r="164" spans="3:3" x14ac:dyDescent="0.45">
      <c r="C164" s="6"/>
    </row>
    <row r="165" spans="3:3" x14ac:dyDescent="0.45">
      <c r="C165" s="6"/>
    </row>
    <row r="166" spans="3:3" x14ac:dyDescent="0.45">
      <c r="C166" s="6"/>
    </row>
    <row r="167" spans="3:3" x14ac:dyDescent="0.45">
      <c r="C167" s="6"/>
    </row>
    <row r="168" spans="3:3" x14ac:dyDescent="0.45">
      <c r="C168" s="6"/>
    </row>
    <row r="169" spans="3:3" x14ac:dyDescent="0.45">
      <c r="C169" s="6"/>
    </row>
    <row r="170" spans="3:3" x14ac:dyDescent="0.45">
      <c r="C170" s="6"/>
    </row>
    <row r="171" spans="3:3" x14ac:dyDescent="0.45">
      <c r="C171" s="6"/>
    </row>
    <row r="172" spans="3:3" x14ac:dyDescent="0.45">
      <c r="C172" s="6"/>
    </row>
    <row r="173" spans="3:3" x14ac:dyDescent="0.45">
      <c r="C173" s="6"/>
    </row>
    <row r="174" spans="3:3" x14ac:dyDescent="0.45">
      <c r="C174" s="6"/>
    </row>
    <row r="175" spans="3:3" x14ac:dyDescent="0.45">
      <c r="C175" s="6"/>
    </row>
    <row r="176" spans="3:3" x14ac:dyDescent="0.45">
      <c r="C176" s="6"/>
    </row>
    <row r="177" spans="3:3" x14ac:dyDescent="0.45">
      <c r="C177" s="6"/>
    </row>
    <row r="178" spans="3:3" x14ac:dyDescent="0.45">
      <c r="C178" s="6"/>
    </row>
    <row r="179" spans="3:3" x14ac:dyDescent="0.45">
      <c r="C179" s="6"/>
    </row>
    <row r="180" spans="3:3" x14ac:dyDescent="0.45">
      <c r="C180" s="6"/>
    </row>
    <row r="181" spans="3:3" x14ac:dyDescent="0.45">
      <c r="C181" s="6"/>
    </row>
    <row r="182" spans="3:3" x14ac:dyDescent="0.45">
      <c r="C182" s="6"/>
    </row>
    <row r="183" spans="3:3" x14ac:dyDescent="0.45">
      <c r="C183" s="6"/>
    </row>
    <row r="184" spans="3:3" x14ac:dyDescent="0.45">
      <c r="C184" s="6"/>
    </row>
    <row r="185" spans="3:3" x14ac:dyDescent="0.45">
      <c r="C185" s="6"/>
    </row>
    <row r="186" spans="3:3" x14ac:dyDescent="0.45">
      <c r="C186" s="6"/>
    </row>
    <row r="187" spans="3:3" x14ac:dyDescent="0.45">
      <c r="C187" s="6"/>
    </row>
    <row r="188" spans="3:3" x14ac:dyDescent="0.45">
      <c r="C188" s="6"/>
    </row>
    <row r="189" spans="3:3" x14ac:dyDescent="0.45">
      <c r="C189" s="6"/>
    </row>
    <row r="190" spans="3:3" x14ac:dyDescent="0.45">
      <c r="C190" s="6"/>
    </row>
    <row r="191" spans="3:3" x14ac:dyDescent="0.45">
      <c r="C191" s="6"/>
    </row>
    <row r="192" spans="3:3" x14ac:dyDescent="0.45">
      <c r="C192" s="6"/>
    </row>
    <row r="193" spans="3:3" x14ac:dyDescent="0.45">
      <c r="C193" s="6"/>
    </row>
    <row r="194" spans="3:3" x14ac:dyDescent="0.45">
      <c r="C194" s="6"/>
    </row>
    <row r="195" spans="3:3" x14ac:dyDescent="0.45">
      <c r="C195" s="6"/>
    </row>
    <row r="196" spans="3:3" x14ac:dyDescent="0.45">
      <c r="C196" s="6"/>
    </row>
    <row r="197" spans="3:3" x14ac:dyDescent="0.45">
      <c r="C197" s="6"/>
    </row>
    <row r="198" spans="3:3" x14ac:dyDescent="0.45">
      <c r="C198" s="6"/>
    </row>
    <row r="199" spans="3:3" x14ac:dyDescent="0.45">
      <c r="C199" s="6"/>
    </row>
    <row r="200" spans="3:3" x14ac:dyDescent="0.45">
      <c r="C200" s="6"/>
    </row>
    <row r="201" spans="3:3" x14ac:dyDescent="0.45">
      <c r="C201" s="6"/>
    </row>
    <row r="202" spans="3:3" x14ac:dyDescent="0.45">
      <c r="C202" s="6"/>
    </row>
    <row r="203" spans="3:3" x14ac:dyDescent="0.45">
      <c r="C203" s="6"/>
    </row>
    <row r="204" spans="3:3" x14ac:dyDescent="0.45">
      <c r="C204" s="6"/>
    </row>
    <row r="205" spans="3:3" x14ac:dyDescent="0.45">
      <c r="C205" s="6"/>
    </row>
    <row r="206" spans="3:3" x14ac:dyDescent="0.45">
      <c r="C206" s="6"/>
    </row>
    <row r="207" spans="3:3" x14ac:dyDescent="0.45">
      <c r="C207" s="6"/>
    </row>
    <row r="208" spans="3:3" x14ac:dyDescent="0.45">
      <c r="C208" s="6"/>
    </row>
    <row r="209" spans="3:3" x14ac:dyDescent="0.45">
      <c r="C209" s="6"/>
    </row>
    <row r="210" spans="3:3" x14ac:dyDescent="0.45">
      <c r="C210" s="6"/>
    </row>
    <row r="211" spans="3:3" x14ac:dyDescent="0.45">
      <c r="C211" s="6"/>
    </row>
    <row r="212" spans="3:3" x14ac:dyDescent="0.45">
      <c r="C212" s="6"/>
    </row>
    <row r="213" spans="3:3" x14ac:dyDescent="0.45">
      <c r="C213" s="6"/>
    </row>
    <row r="214" spans="3:3" x14ac:dyDescent="0.45">
      <c r="C214" s="6"/>
    </row>
    <row r="215" spans="3:3" x14ac:dyDescent="0.45">
      <c r="C215" s="6"/>
    </row>
    <row r="216" spans="3:3" x14ac:dyDescent="0.45">
      <c r="C216" s="6"/>
    </row>
    <row r="217" spans="3:3" x14ac:dyDescent="0.45">
      <c r="C217" s="6"/>
    </row>
    <row r="218" spans="3:3" x14ac:dyDescent="0.45">
      <c r="C218" s="6"/>
    </row>
    <row r="219" spans="3:3" x14ac:dyDescent="0.45">
      <c r="C219" s="6"/>
    </row>
    <row r="220" spans="3:3" x14ac:dyDescent="0.45">
      <c r="C220" s="6"/>
    </row>
    <row r="221" spans="3:3" x14ac:dyDescent="0.45">
      <c r="C221" s="6"/>
    </row>
    <row r="222" spans="3:3" x14ac:dyDescent="0.45">
      <c r="C222" s="6"/>
    </row>
    <row r="223" spans="3:3" x14ac:dyDescent="0.45">
      <c r="C223" s="6"/>
    </row>
    <row r="224" spans="3:3" x14ac:dyDescent="0.45">
      <c r="C224" s="6"/>
    </row>
    <row r="225" spans="3:3" x14ac:dyDescent="0.45">
      <c r="C225" s="6"/>
    </row>
    <row r="226" spans="3:3" x14ac:dyDescent="0.45">
      <c r="C226" s="6"/>
    </row>
    <row r="227" spans="3:3" x14ac:dyDescent="0.45">
      <c r="C227" s="6"/>
    </row>
    <row r="228" spans="3:3" x14ac:dyDescent="0.45">
      <c r="C228" s="6"/>
    </row>
    <row r="229" spans="3:3" x14ac:dyDescent="0.45">
      <c r="C229" s="6"/>
    </row>
    <row r="230" spans="3:3" x14ac:dyDescent="0.45">
      <c r="C230" s="6"/>
    </row>
    <row r="231" spans="3:3" x14ac:dyDescent="0.45">
      <c r="C231" s="6"/>
    </row>
    <row r="232" spans="3:3" x14ac:dyDescent="0.45">
      <c r="C232" s="6"/>
    </row>
    <row r="233" spans="3:3" x14ac:dyDescent="0.45">
      <c r="C233" s="6"/>
    </row>
    <row r="234" spans="3:3" x14ac:dyDescent="0.45">
      <c r="C234" s="6"/>
    </row>
    <row r="235" spans="3:3" x14ac:dyDescent="0.45">
      <c r="C235" s="6"/>
    </row>
    <row r="236" spans="3:3" x14ac:dyDescent="0.45">
      <c r="C236" s="6"/>
    </row>
    <row r="237" spans="3:3" x14ac:dyDescent="0.45">
      <c r="C237" s="6"/>
    </row>
    <row r="238" spans="3:3" x14ac:dyDescent="0.45">
      <c r="C238" s="6"/>
    </row>
    <row r="239" spans="3:3" x14ac:dyDescent="0.45">
      <c r="C239" s="6"/>
    </row>
    <row r="240" spans="3:3" x14ac:dyDescent="0.45">
      <c r="C240" s="6"/>
    </row>
    <row r="241" spans="3:3" x14ac:dyDescent="0.45">
      <c r="C241" s="6"/>
    </row>
    <row r="242" spans="3:3" x14ac:dyDescent="0.45">
      <c r="C242" s="6"/>
    </row>
    <row r="243" spans="3:3" x14ac:dyDescent="0.45">
      <c r="C243" s="6"/>
    </row>
    <row r="244" spans="3:3" x14ac:dyDescent="0.45">
      <c r="C244" s="6"/>
    </row>
    <row r="245" spans="3:3" x14ac:dyDescent="0.45">
      <c r="C245" s="6"/>
    </row>
    <row r="246" spans="3:3" x14ac:dyDescent="0.45">
      <c r="C246" s="6"/>
    </row>
    <row r="247" spans="3:3" x14ac:dyDescent="0.45">
      <c r="C247" s="6"/>
    </row>
    <row r="248" spans="3:3" x14ac:dyDescent="0.45">
      <c r="C248" s="6"/>
    </row>
    <row r="249" spans="3:3" x14ac:dyDescent="0.45">
      <c r="C249" s="6"/>
    </row>
    <row r="250" spans="3:3" x14ac:dyDescent="0.45">
      <c r="C250" s="6"/>
    </row>
    <row r="251" spans="3:3" x14ac:dyDescent="0.45">
      <c r="C251" s="6"/>
    </row>
    <row r="252" spans="3:3" x14ac:dyDescent="0.45">
      <c r="C252" s="6"/>
    </row>
    <row r="253" spans="3:3" x14ac:dyDescent="0.45">
      <c r="C253" s="6"/>
    </row>
    <row r="254" spans="3:3" x14ac:dyDescent="0.45">
      <c r="C254" s="6"/>
    </row>
    <row r="255" spans="3:3" x14ac:dyDescent="0.45">
      <c r="C255" s="6"/>
    </row>
    <row r="256" spans="3:3" x14ac:dyDescent="0.45">
      <c r="C256" s="6"/>
    </row>
    <row r="257" spans="3:3" x14ac:dyDescent="0.45">
      <c r="C257" s="6"/>
    </row>
    <row r="258" spans="3:3" x14ac:dyDescent="0.45">
      <c r="C258" s="6"/>
    </row>
    <row r="259" spans="3:3" x14ac:dyDescent="0.45">
      <c r="C259" s="6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47057-36AE-460C-8393-13BDBCB08686}">
  <sheetPr>
    <tabColor theme="6"/>
  </sheetPr>
  <dimension ref="A1"/>
  <sheetViews>
    <sheetView tabSelected="1" zoomScale="70" zoomScaleNormal="70" workbookViewId="0">
      <selection activeCell="N33" sqref="N33"/>
    </sheetView>
  </sheetViews>
  <sheetFormatPr defaultRowHeight="17" x14ac:dyDescent="0.45"/>
  <cols>
    <col min="1" max="16384" width="8.6640625" style="4"/>
  </cols>
  <sheetData/>
  <phoneticPr fontId="2" type="noConversion"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E183A-06FC-4E29-9A1C-6F0F427B915B}">
  <dimension ref="A1:H4"/>
  <sheetViews>
    <sheetView zoomScale="55" zoomScaleNormal="55" workbookViewId="0">
      <selection activeCell="S38" sqref="S38"/>
    </sheetView>
  </sheetViews>
  <sheetFormatPr defaultRowHeight="17" x14ac:dyDescent="0.45"/>
  <cols>
    <col min="1" max="1" width="13.4140625" bestFit="1" customWidth="1"/>
    <col min="2" max="2" width="14.6640625" bestFit="1" customWidth="1"/>
    <col min="3" max="3" width="9.9140625" bestFit="1" customWidth="1"/>
    <col min="4" max="4" width="11" bestFit="1" customWidth="1"/>
    <col min="5" max="5" width="13.75" bestFit="1" customWidth="1"/>
    <col min="6" max="6" width="13.75" customWidth="1"/>
    <col min="7" max="7" width="13.75" bestFit="1" customWidth="1"/>
    <col min="8" max="8" width="14" bestFit="1" customWidth="1"/>
    <col min="9" max="9" width="14.33203125" bestFit="1" customWidth="1"/>
    <col min="10" max="10" width="13.75" bestFit="1" customWidth="1"/>
    <col min="11" max="13" width="14" bestFit="1" customWidth="1"/>
    <col min="14" max="14" width="14.33203125" bestFit="1" customWidth="1"/>
    <col min="15" max="15" width="13.75" bestFit="1" customWidth="1"/>
    <col min="16" max="18" width="14" bestFit="1" customWidth="1"/>
    <col min="19" max="19" width="14.33203125" bestFit="1" customWidth="1"/>
    <col min="20" max="20" width="13.75" bestFit="1" customWidth="1"/>
    <col min="21" max="22" width="14" bestFit="1" customWidth="1"/>
    <col min="23" max="23" width="14.33203125" bestFit="1" customWidth="1"/>
    <col min="24" max="24" width="14.6640625" bestFit="1" customWidth="1"/>
    <col min="25" max="25" width="17.6640625" bestFit="1" customWidth="1"/>
    <col min="26" max="26" width="15.4140625" bestFit="1" customWidth="1"/>
    <col min="27" max="27" width="18.83203125" bestFit="1" customWidth="1"/>
    <col min="28" max="28" width="15.83203125" bestFit="1" customWidth="1"/>
    <col min="29" max="31" width="3.83203125" bestFit="1" customWidth="1"/>
    <col min="32" max="32" width="19" bestFit="1" customWidth="1"/>
    <col min="33" max="33" width="15.5" bestFit="1" customWidth="1"/>
    <col min="34" max="34" width="3.83203125" bestFit="1" customWidth="1"/>
    <col min="35" max="37" width="4.9140625" bestFit="1" customWidth="1"/>
    <col min="38" max="38" width="18.58203125" bestFit="1" customWidth="1"/>
    <col min="39" max="39" width="15.75" bestFit="1" customWidth="1"/>
    <col min="40" max="40" width="18.83203125" bestFit="1" customWidth="1"/>
    <col min="41" max="41" width="15.6640625" bestFit="1" customWidth="1"/>
    <col min="42" max="42" width="3.83203125" bestFit="1" customWidth="1"/>
    <col min="43" max="44" width="4.9140625" bestFit="1" customWidth="1"/>
    <col min="45" max="45" width="18.83203125" bestFit="1" customWidth="1"/>
    <col min="46" max="46" width="15.75" bestFit="1" customWidth="1"/>
    <col min="47" max="66" width="4.9140625" bestFit="1" customWidth="1"/>
    <col min="67" max="69" width="6" bestFit="1" customWidth="1"/>
    <col min="70" max="70" width="18.83203125" bestFit="1" customWidth="1"/>
    <col min="71" max="71" width="15.83203125" bestFit="1" customWidth="1"/>
    <col min="72" max="74" width="3.83203125" bestFit="1" customWidth="1"/>
    <col min="75" max="75" width="19" bestFit="1" customWidth="1"/>
    <col min="76" max="76" width="15.5" bestFit="1" customWidth="1"/>
    <col min="77" max="77" width="3.83203125" bestFit="1" customWidth="1"/>
    <col min="78" max="80" width="4.9140625" bestFit="1" customWidth="1"/>
    <col min="81" max="81" width="18.58203125" bestFit="1" customWidth="1"/>
    <col min="82" max="82" width="15.75" bestFit="1" customWidth="1"/>
    <col min="83" max="83" width="18.83203125" bestFit="1" customWidth="1"/>
    <col min="84" max="84" width="15.6640625" bestFit="1" customWidth="1"/>
    <col min="85" max="85" width="3.83203125" bestFit="1" customWidth="1"/>
    <col min="86" max="87" width="4.9140625" bestFit="1" customWidth="1"/>
    <col min="88" max="88" width="18.83203125" bestFit="1" customWidth="1"/>
    <col min="89" max="89" width="15.75" bestFit="1" customWidth="1"/>
    <col min="90" max="90" width="4.9140625" bestFit="1" customWidth="1"/>
    <col min="91" max="94" width="13.75" bestFit="1" customWidth="1"/>
    <col min="95" max="95" width="12.5" bestFit="1" customWidth="1"/>
    <col min="96" max="104" width="13.75" bestFit="1" customWidth="1"/>
    <col min="105" max="105" width="4.9140625" bestFit="1" customWidth="1"/>
    <col min="106" max="112" width="13.75" bestFit="1" customWidth="1"/>
    <col min="113" max="113" width="18.83203125" bestFit="1" customWidth="1"/>
    <col min="114" max="114" width="15.83203125" bestFit="1" customWidth="1"/>
    <col min="115" max="115" width="3.83203125" bestFit="1" customWidth="1"/>
    <col min="116" max="117" width="13.75" bestFit="1" customWidth="1"/>
    <col min="118" max="118" width="19" bestFit="1" customWidth="1"/>
    <col min="119" max="119" width="15.5" bestFit="1" customWidth="1"/>
    <col min="120" max="120" width="3.83203125" bestFit="1" customWidth="1"/>
    <col min="121" max="121" width="4.9140625" bestFit="1" customWidth="1"/>
    <col min="122" max="122" width="6" bestFit="1" customWidth="1"/>
    <col min="123" max="123" width="13.75" bestFit="1" customWidth="1"/>
    <col min="124" max="124" width="18.58203125" bestFit="1" customWidth="1"/>
    <col min="125" max="125" width="15.75" bestFit="1" customWidth="1"/>
    <col min="126" max="126" width="18.83203125" bestFit="1" customWidth="1"/>
    <col min="127" max="127" width="15.6640625" bestFit="1" customWidth="1"/>
    <col min="128" max="130" width="13.75" bestFit="1" customWidth="1"/>
    <col min="131" max="131" width="18.83203125" bestFit="1" customWidth="1"/>
    <col min="132" max="132" width="14.6640625" bestFit="1" customWidth="1"/>
    <col min="133" max="133" width="17.6640625" bestFit="1" customWidth="1"/>
    <col min="134" max="134" width="15.4140625" bestFit="1" customWidth="1"/>
    <col min="135" max="154" width="15.75" bestFit="1" customWidth="1"/>
    <col min="155" max="155" width="18.83203125" bestFit="1" customWidth="1"/>
    <col min="156" max="159" width="15.83203125" bestFit="1" customWidth="1"/>
    <col min="160" max="160" width="19" bestFit="1" customWidth="1"/>
    <col min="161" max="165" width="15.5" bestFit="1" customWidth="1"/>
    <col min="166" max="166" width="18.58203125" bestFit="1" customWidth="1"/>
    <col min="167" max="167" width="15.75" bestFit="1" customWidth="1"/>
    <col min="168" max="168" width="18.83203125" bestFit="1" customWidth="1"/>
    <col min="169" max="172" width="15.6640625" bestFit="1" customWidth="1"/>
    <col min="173" max="173" width="18.83203125" bestFit="1" customWidth="1"/>
    <col min="174" max="174" width="14.33203125" bestFit="1" customWidth="1"/>
    <col min="175" max="175" width="14.6640625" bestFit="1" customWidth="1"/>
    <col min="176" max="176" width="17.6640625" bestFit="1" customWidth="1"/>
    <col min="177" max="177" width="15.4140625" bestFit="1" customWidth="1"/>
    <col min="178" max="178" width="6.6640625" bestFit="1" customWidth="1"/>
    <col min="179" max="179" width="8.9140625" bestFit="1" customWidth="1"/>
    <col min="180" max="180" width="6.6640625" bestFit="1" customWidth="1"/>
    <col min="181" max="181" width="8.9140625" bestFit="1" customWidth="1"/>
    <col min="182" max="182" width="6.6640625" bestFit="1" customWidth="1"/>
    <col min="183" max="183" width="3.5" bestFit="1" customWidth="1"/>
    <col min="184" max="184" width="8.9140625" bestFit="1" customWidth="1"/>
    <col min="185" max="185" width="6.6640625" bestFit="1" customWidth="1"/>
    <col min="186" max="186" width="8.9140625" bestFit="1" customWidth="1"/>
    <col min="187" max="187" width="6.6640625" bestFit="1" customWidth="1"/>
    <col min="188" max="188" width="8.9140625" bestFit="1" customWidth="1"/>
    <col min="189" max="189" width="6.6640625" bestFit="1" customWidth="1"/>
    <col min="190" max="190" width="8.9140625" bestFit="1" customWidth="1"/>
    <col min="191" max="191" width="6.6640625" bestFit="1" customWidth="1"/>
    <col min="192" max="192" width="8.9140625" bestFit="1" customWidth="1"/>
    <col min="193" max="193" width="6.6640625" bestFit="1" customWidth="1"/>
    <col min="194" max="194" width="8.9140625" bestFit="1" customWidth="1"/>
    <col min="195" max="195" width="6.6640625" bestFit="1" customWidth="1"/>
    <col min="196" max="196" width="8.9140625" bestFit="1" customWidth="1"/>
    <col min="197" max="197" width="6.6640625" bestFit="1" customWidth="1"/>
    <col min="198" max="198" width="8.9140625" bestFit="1" customWidth="1"/>
    <col min="199" max="199" width="6.6640625" bestFit="1" customWidth="1"/>
    <col min="200" max="200" width="3.5" bestFit="1" customWidth="1"/>
    <col min="201" max="201" width="8.9140625" bestFit="1" customWidth="1"/>
    <col min="202" max="202" width="6.6640625" bestFit="1" customWidth="1"/>
    <col min="203" max="203" width="3.5" bestFit="1" customWidth="1"/>
    <col min="204" max="204" width="8.9140625" bestFit="1" customWidth="1"/>
    <col min="205" max="205" width="6.6640625" bestFit="1" customWidth="1"/>
    <col min="206" max="206" width="8.9140625" bestFit="1" customWidth="1"/>
    <col min="207" max="207" width="6.6640625" bestFit="1" customWidth="1"/>
    <col min="208" max="208" width="3.5" bestFit="1" customWidth="1"/>
    <col min="209" max="209" width="8.9140625" bestFit="1" customWidth="1"/>
    <col min="210" max="210" width="6.6640625" bestFit="1" customWidth="1"/>
    <col min="211" max="211" width="8.9140625" bestFit="1" customWidth="1"/>
    <col min="212" max="212" width="6.6640625" bestFit="1" customWidth="1"/>
    <col min="213" max="213" width="8.9140625" bestFit="1" customWidth="1"/>
    <col min="214" max="214" width="6.6640625" bestFit="1" customWidth="1"/>
    <col min="215" max="215" width="2.4140625" bestFit="1" customWidth="1"/>
    <col min="216" max="216" width="8.9140625" bestFit="1" customWidth="1"/>
    <col min="217" max="217" width="6.6640625" bestFit="1" customWidth="1"/>
    <col min="218" max="218" width="8.9140625" bestFit="1" customWidth="1"/>
    <col min="219" max="219" width="6.6640625" bestFit="1" customWidth="1"/>
    <col min="220" max="220" width="8.9140625" bestFit="1" customWidth="1"/>
    <col min="221" max="221" width="6.6640625" bestFit="1" customWidth="1"/>
    <col min="222" max="222" width="8.9140625" bestFit="1" customWidth="1"/>
    <col min="223" max="223" width="6.6640625" bestFit="1" customWidth="1"/>
    <col min="224" max="224" width="3.5" bestFit="1" customWidth="1"/>
    <col min="225" max="225" width="8.9140625" bestFit="1" customWidth="1"/>
    <col min="226" max="226" width="6.6640625" bestFit="1" customWidth="1"/>
    <col min="227" max="227" width="8.9140625" bestFit="1" customWidth="1"/>
    <col min="228" max="228" width="6.6640625" bestFit="1" customWidth="1"/>
    <col min="229" max="229" width="8.9140625" bestFit="1" customWidth="1"/>
    <col min="230" max="230" width="6.6640625" bestFit="1" customWidth="1"/>
    <col min="231" max="231" width="8.9140625" bestFit="1" customWidth="1"/>
    <col min="232" max="232" width="6.6640625" bestFit="1" customWidth="1"/>
    <col min="233" max="233" width="8.9140625" bestFit="1" customWidth="1"/>
    <col min="234" max="234" width="6.6640625" bestFit="1" customWidth="1"/>
    <col min="235" max="235" width="8.9140625" bestFit="1" customWidth="1"/>
    <col min="236" max="236" width="6.6640625" bestFit="1" customWidth="1"/>
    <col min="237" max="237" width="8.9140625" bestFit="1" customWidth="1"/>
    <col min="238" max="238" width="6.6640625" bestFit="1" customWidth="1"/>
    <col min="239" max="239" width="8.9140625" bestFit="1" customWidth="1"/>
    <col min="240" max="240" width="6.6640625" bestFit="1" customWidth="1"/>
    <col min="241" max="241" width="8.9140625" bestFit="1" customWidth="1"/>
    <col min="242" max="242" width="6.6640625" bestFit="1" customWidth="1"/>
    <col min="243" max="243" width="8.9140625" bestFit="1" customWidth="1"/>
    <col min="244" max="244" width="6.6640625" bestFit="1" customWidth="1"/>
    <col min="245" max="245" width="8.9140625" bestFit="1" customWidth="1"/>
    <col min="246" max="246" width="6.6640625" bestFit="1" customWidth="1"/>
    <col min="247" max="247" width="3.5" bestFit="1" customWidth="1"/>
    <col min="248" max="248" width="8.9140625" bestFit="1" customWidth="1"/>
    <col min="249" max="249" width="6.6640625" bestFit="1" customWidth="1"/>
    <col min="250" max="250" width="8.9140625" bestFit="1" customWidth="1"/>
    <col min="251" max="251" width="6.6640625" bestFit="1" customWidth="1"/>
    <col min="252" max="252" width="8.9140625" bestFit="1" customWidth="1"/>
    <col min="253" max="253" width="6.6640625" bestFit="1" customWidth="1"/>
    <col min="254" max="254" width="8.9140625" bestFit="1" customWidth="1"/>
    <col min="255" max="255" width="6.6640625" bestFit="1" customWidth="1"/>
    <col min="256" max="256" width="8.9140625" bestFit="1" customWidth="1"/>
    <col min="257" max="257" width="6.6640625" bestFit="1" customWidth="1"/>
    <col min="258" max="258" width="8.9140625" bestFit="1" customWidth="1"/>
    <col min="259" max="259" width="6.6640625" bestFit="1" customWidth="1"/>
    <col min="260" max="260" width="8.9140625" bestFit="1" customWidth="1"/>
    <col min="261" max="261" width="6.6640625" bestFit="1" customWidth="1"/>
    <col min="262" max="262" width="8.9140625" bestFit="1" customWidth="1"/>
    <col min="263" max="263" width="6.6640625" bestFit="1" customWidth="1"/>
    <col min="264" max="264" width="8.9140625" bestFit="1" customWidth="1"/>
    <col min="265" max="265" width="6.6640625" bestFit="1" customWidth="1"/>
    <col min="266" max="266" width="8.9140625" bestFit="1" customWidth="1"/>
    <col min="267" max="267" width="6.6640625" bestFit="1" customWidth="1"/>
    <col min="268" max="268" width="8.9140625" bestFit="1" customWidth="1"/>
    <col min="269" max="269" width="6.6640625" bestFit="1" customWidth="1"/>
    <col min="270" max="270" width="8.9140625" bestFit="1" customWidth="1"/>
    <col min="271" max="271" width="6.6640625" bestFit="1" customWidth="1"/>
    <col min="272" max="272" width="8.9140625" bestFit="1" customWidth="1"/>
    <col min="273" max="273" width="6.6640625" bestFit="1" customWidth="1"/>
    <col min="274" max="274" width="8.9140625" bestFit="1" customWidth="1"/>
    <col min="275" max="275" width="6.6640625" bestFit="1" customWidth="1"/>
    <col min="276" max="276" width="8.9140625" bestFit="1" customWidth="1"/>
    <col min="277" max="277" width="6.6640625" bestFit="1" customWidth="1"/>
    <col min="278" max="278" width="8.9140625" bestFit="1" customWidth="1"/>
    <col min="279" max="279" width="6.6640625" bestFit="1" customWidth="1"/>
    <col min="280" max="280" width="8.9140625" bestFit="1" customWidth="1"/>
    <col min="281" max="281" width="6.6640625" bestFit="1" customWidth="1"/>
    <col min="282" max="282" width="8.9140625" bestFit="1" customWidth="1"/>
    <col min="283" max="283" width="6.6640625" bestFit="1" customWidth="1"/>
    <col min="284" max="284" width="8.9140625" bestFit="1" customWidth="1"/>
    <col min="285" max="285" width="6.6640625" bestFit="1" customWidth="1"/>
    <col min="286" max="286" width="8.9140625" bestFit="1" customWidth="1"/>
    <col min="287" max="287" width="6.6640625" bestFit="1" customWidth="1"/>
    <col min="288" max="288" width="8.9140625" bestFit="1" customWidth="1"/>
    <col min="289" max="289" width="6.6640625" bestFit="1" customWidth="1"/>
    <col min="290" max="290" width="8.9140625" bestFit="1" customWidth="1"/>
    <col min="291" max="291" width="6.6640625" bestFit="1" customWidth="1"/>
    <col min="292" max="292" width="8.9140625" bestFit="1" customWidth="1"/>
    <col min="293" max="293" width="6.6640625" bestFit="1" customWidth="1"/>
    <col min="294" max="294" width="2.4140625" bestFit="1" customWidth="1"/>
    <col min="295" max="295" width="3.5" bestFit="1" customWidth="1"/>
    <col min="296" max="296" width="8.9140625" bestFit="1" customWidth="1"/>
    <col min="297" max="297" width="6.6640625" bestFit="1" customWidth="1"/>
    <col min="298" max="298" width="8.9140625" bestFit="1" customWidth="1"/>
    <col min="299" max="299" width="6.6640625" bestFit="1" customWidth="1"/>
    <col min="300" max="300" width="8.9140625" bestFit="1" customWidth="1"/>
    <col min="301" max="301" width="6.6640625" bestFit="1" customWidth="1"/>
    <col min="302" max="302" width="8.9140625" bestFit="1" customWidth="1"/>
    <col min="303" max="303" width="6.6640625" bestFit="1" customWidth="1"/>
    <col min="304" max="304" width="8.9140625" bestFit="1" customWidth="1"/>
    <col min="305" max="305" width="6.6640625" bestFit="1" customWidth="1"/>
    <col min="306" max="306" width="8.9140625" bestFit="1" customWidth="1"/>
    <col min="307" max="307" width="6.6640625" bestFit="1" customWidth="1"/>
    <col min="308" max="308" width="8.9140625" bestFit="1" customWidth="1"/>
    <col min="309" max="309" width="6.6640625" bestFit="1" customWidth="1"/>
    <col min="310" max="310" width="8.9140625" bestFit="1" customWidth="1"/>
    <col min="311" max="311" width="6.6640625" bestFit="1" customWidth="1"/>
    <col min="312" max="312" width="8.9140625" bestFit="1" customWidth="1"/>
    <col min="313" max="313" width="6.6640625" bestFit="1" customWidth="1"/>
    <col min="314" max="314" width="8.9140625" bestFit="1" customWidth="1"/>
    <col min="315" max="315" width="6.6640625" bestFit="1" customWidth="1"/>
    <col min="316" max="316" width="8.9140625" bestFit="1" customWidth="1"/>
    <col min="317" max="317" width="6.6640625" bestFit="1" customWidth="1"/>
    <col min="318" max="318" width="8.9140625" bestFit="1" customWidth="1"/>
    <col min="319" max="319" width="6.6640625" bestFit="1" customWidth="1"/>
    <col min="320" max="320" width="8.9140625" bestFit="1" customWidth="1"/>
    <col min="321" max="321" width="6.6640625" bestFit="1" customWidth="1"/>
    <col min="322" max="322" width="8.9140625" bestFit="1" customWidth="1"/>
    <col min="323" max="323" width="6.6640625" bestFit="1" customWidth="1"/>
    <col min="324" max="324" width="8.9140625" bestFit="1" customWidth="1"/>
    <col min="325" max="325" width="6.6640625" bestFit="1" customWidth="1"/>
    <col min="326" max="326" width="8.9140625" bestFit="1" customWidth="1"/>
    <col min="327" max="327" width="6.6640625" bestFit="1" customWidth="1"/>
    <col min="328" max="328" width="8.9140625" bestFit="1" customWidth="1"/>
    <col min="329" max="329" width="6.6640625" bestFit="1" customWidth="1"/>
    <col min="330" max="330" width="3.5" bestFit="1" customWidth="1"/>
    <col min="331" max="331" width="8.9140625" bestFit="1" customWidth="1"/>
    <col min="332" max="332" width="6.6640625" bestFit="1" customWidth="1"/>
    <col min="333" max="333" width="8.9140625" bestFit="1" customWidth="1"/>
    <col min="334" max="334" width="6.6640625" bestFit="1" customWidth="1"/>
    <col min="335" max="335" width="3.5" bestFit="1" customWidth="1"/>
    <col min="336" max="336" width="8.9140625" bestFit="1" customWidth="1"/>
    <col min="337" max="337" width="6.6640625" bestFit="1" customWidth="1"/>
    <col min="338" max="338" width="8.9140625" bestFit="1" customWidth="1"/>
    <col min="339" max="339" width="6.6640625" bestFit="1" customWidth="1"/>
    <col min="340" max="340" width="8.9140625" bestFit="1" customWidth="1"/>
    <col min="341" max="341" width="6.6640625" bestFit="1" customWidth="1"/>
    <col min="342" max="342" width="8.9140625" bestFit="1" customWidth="1"/>
    <col min="343" max="343" width="6.6640625" bestFit="1" customWidth="1"/>
    <col min="344" max="344" width="8.9140625" bestFit="1" customWidth="1"/>
    <col min="345" max="345" width="6.6640625" bestFit="1" customWidth="1"/>
    <col min="346" max="346" width="8.9140625" bestFit="1" customWidth="1"/>
    <col min="347" max="347" width="6.6640625" bestFit="1" customWidth="1"/>
    <col min="348" max="348" width="8.9140625" bestFit="1" customWidth="1"/>
    <col min="349" max="349" width="6.6640625" bestFit="1" customWidth="1"/>
    <col min="350" max="350" width="8.9140625" bestFit="1" customWidth="1"/>
    <col min="351" max="351" width="6.6640625" bestFit="1" customWidth="1"/>
    <col min="352" max="352" width="8.9140625" bestFit="1" customWidth="1"/>
    <col min="353" max="353" width="6.6640625" bestFit="1" customWidth="1"/>
    <col min="354" max="354" width="8.9140625" bestFit="1" customWidth="1"/>
    <col min="355" max="355" width="6.6640625" bestFit="1" customWidth="1"/>
    <col min="356" max="356" width="8.9140625" bestFit="1" customWidth="1"/>
    <col min="357" max="357" width="6.6640625" bestFit="1" customWidth="1"/>
    <col min="358" max="358" width="8.9140625" bestFit="1" customWidth="1"/>
    <col min="359" max="359" width="6.6640625" bestFit="1" customWidth="1"/>
    <col min="360" max="360" width="8.9140625" bestFit="1" customWidth="1"/>
    <col min="361" max="361" width="6.6640625" bestFit="1" customWidth="1"/>
    <col min="362" max="362" width="8.9140625" bestFit="1" customWidth="1"/>
    <col min="363" max="363" width="6.6640625" bestFit="1" customWidth="1"/>
    <col min="364" max="364" width="8.9140625" bestFit="1" customWidth="1"/>
    <col min="365" max="365" width="6.6640625" bestFit="1" customWidth="1"/>
    <col min="366" max="366" width="8.9140625" bestFit="1" customWidth="1"/>
    <col min="367" max="367" width="6.6640625" bestFit="1" customWidth="1"/>
    <col min="368" max="368" width="8.9140625" bestFit="1" customWidth="1"/>
    <col min="369" max="369" width="6.6640625" bestFit="1" customWidth="1"/>
    <col min="370" max="370" width="8.9140625" bestFit="1" customWidth="1"/>
    <col min="371" max="371" width="6.6640625" bestFit="1" customWidth="1"/>
    <col min="372" max="372" width="8.9140625" bestFit="1" customWidth="1"/>
    <col min="373" max="373" width="6.6640625" bestFit="1" customWidth="1"/>
    <col min="374" max="374" width="8.9140625" bestFit="1" customWidth="1"/>
    <col min="375" max="375" width="6.6640625" bestFit="1" customWidth="1"/>
    <col min="376" max="376" width="8.9140625" bestFit="1" customWidth="1"/>
    <col min="377" max="377" width="6.6640625" bestFit="1" customWidth="1"/>
    <col min="378" max="378" width="8.9140625" bestFit="1" customWidth="1"/>
    <col min="379" max="379" width="6.6640625" bestFit="1" customWidth="1"/>
    <col min="380" max="380" width="8.9140625" bestFit="1" customWidth="1"/>
    <col min="381" max="381" width="6.6640625" bestFit="1" customWidth="1"/>
    <col min="382" max="382" width="8.9140625" bestFit="1" customWidth="1"/>
    <col min="383" max="383" width="6.6640625" bestFit="1" customWidth="1"/>
    <col min="384" max="384" width="8.9140625" bestFit="1" customWidth="1"/>
    <col min="385" max="385" width="6.6640625" bestFit="1" customWidth="1"/>
    <col min="386" max="386" width="8.9140625" bestFit="1" customWidth="1"/>
    <col min="387" max="387" width="6.6640625" bestFit="1" customWidth="1"/>
    <col min="388" max="388" width="8.9140625" bestFit="1" customWidth="1"/>
    <col min="389" max="389" width="6.6640625" bestFit="1" customWidth="1"/>
    <col min="390" max="390" width="8.9140625" bestFit="1" customWidth="1"/>
    <col min="391" max="391" width="6.6640625" bestFit="1" customWidth="1"/>
    <col min="392" max="392" width="8.9140625" bestFit="1" customWidth="1"/>
    <col min="393" max="393" width="6.6640625" bestFit="1" customWidth="1"/>
    <col min="394" max="394" width="8.9140625" bestFit="1" customWidth="1"/>
    <col min="395" max="395" width="6.6640625" bestFit="1" customWidth="1"/>
    <col min="396" max="396" width="8.9140625" bestFit="1" customWidth="1"/>
    <col min="397" max="397" width="6.6640625" bestFit="1" customWidth="1"/>
    <col min="398" max="398" width="8.9140625" bestFit="1" customWidth="1"/>
    <col min="399" max="399" width="7.75" bestFit="1" customWidth="1"/>
    <col min="400" max="400" width="10" bestFit="1" customWidth="1"/>
    <col min="401" max="401" width="7.75" bestFit="1" customWidth="1"/>
    <col min="402" max="402" width="10" bestFit="1" customWidth="1"/>
    <col min="403" max="403" width="7.75" bestFit="1" customWidth="1"/>
    <col min="404" max="404" width="10" bestFit="1" customWidth="1"/>
    <col min="405" max="405" width="12.83203125" bestFit="1" customWidth="1"/>
    <col min="406" max="406" width="15.33203125" bestFit="1" customWidth="1"/>
    <col min="407" max="407" width="6.83203125" bestFit="1" customWidth="1"/>
  </cols>
  <sheetData>
    <row r="1" spans="1:8" x14ac:dyDescent="0.45">
      <c r="A1" s="1" t="s">
        <v>2</v>
      </c>
      <c r="B1" t="s">
        <v>56</v>
      </c>
    </row>
    <row r="3" spans="1:8" x14ac:dyDescent="0.45">
      <c r="A3" s="1" t="s">
        <v>42</v>
      </c>
      <c r="B3" t="s">
        <v>44</v>
      </c>
      <c r="C3" t="s">
        <v>45</v>
      </c>
      <c r="D3" t="s">
        <v>50</v>
      </c>
      <c r="F3" s="3" t="s">
        <v>49</v>
      </c>
      <c r="G3" s="3" t="s">
        <v>46</v>
      </c>
      <c r="H3" s="3" t="s">
        <v>47</v>
      </c>
    </row>
    <row r="4" spans="1:8" x14ac:dyDescent="0.45">
      <c r="A4" s="2" t="s">
        <v>43</v>
      </c>
      <c r="B4" s="7"/>
      <c r="C4" s="7"/>
      <c r="D4" s="7"/>
      <c r="F4" t="str">
        <f>_xlfn.CONCAT("PPM : ",IFERROR(TEXT(H4/(G4+H4)*1000000,"0"),""))</f>
        <v xml:space="preserve">PPM : </v>
      </c>
      <c r="G4">
        <f>GETPIVOTDATA("합계 : OK",$A$3)</f>
        <v>0</v>
      </c>
      <c r="H4">
        <f>GETPIVOTDATA("합계 : NG",$A$3)</f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BDDB6-E605-4417-AD80-935070684C15}">
  <sheetPr>
    <tabColor rgb="FF0070C0"/>
  </sheetPr>
  <dimension ref="A1:B7"/>
  <sheetViews>
    <sheetView workbookViewId="0">
      <selection activeCell="H15" sqref="H15"/>
    </sheetView>
  </sheetViews>
  <sheetFormatPr defaultRowHeight="17" x14ac:dyDescent="0.45"/>
  <cols>
    <col min="1" max="1" width="8.5" bestFit="1" customWidth="1"/>
    <col min="2" max="2" width="18.75" bestFit="1" customWidth="1"/>
  </cols>
  <sheetData>
    <row r="1" spans="1:2" x14ac:dyDescent="0.45">
      <c r="A1" s="5" t="s">
        <v>0</v>
      </c>
      <c r="B1" s="5" t="s">
        <v>1</v>
      </c>
    </row>
    <row r="2" spans="1:2" x14ac:dyDescent="0.45">
      <c r="A2" t="s">
        <v>2</v>
      </c>
      <c r="B2" t="s">
        <v>7</v>
      </c>
    </row>
    <row r="3" spans="1:2" x14ac:dyDescent="0.45">
      <c r="A3" t="s">
        <v>3</v>
      </c>
      <c r="B3" t="s">
        <v>7</v>
      </c>
    </row>
    <row r="4" spans="1:2" x14ac:dyDescent="0.45">
      <c r="A4" t="s">
        <v>4</v>
      </c>
      <c r="B4" t="s">
        <v>8</v>
      </c>
    </row>
    <row r="5" spans="1:2" x14ac:dyDescent="0.45">
      <c r="A5" t="s">
        <v>5</v>
      </c>
      <c r="B5" t="s">
        <v>9</v>
      </c>
    </row>
    <row r="6" spans="1:2" x14ac:dyDescent="0.45">
      <c r="A6" t="s">
        <v>6</v>
      </c>
      <c r="B6" t="s">
        <v>52</v>
      </c>
    </row>
    <row r="7" spans="1:2" x14ac:dyDescent="0.45">
      <c r="A7" t="s">
        <v>51</v>
      </c>
      <c r="B7" t="b">
        <v>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20513-96CA-4D48-8918-61247B23C80C}">
  <sheetPr>
    <tabColor rgb="FF0070C0"/>
  </sheetPr>
  <dimension ref="A1:G259"/>
  <sheetViews>
    <sheetView workbookViewId="0">
      <selection activeCell="H15" sqref="H15"/>
    </sheetView>
  </sheetViews>
  <sheetFormatPr defaultRowHeight="17" x14ac:dyDescent="0.45"/>
  <cols>
    <col min="2" max="2" width="26.6640625" bestFit="1" customWidth="1"/>
    <col min="3" max="3" width="10.75" bestFit="1" customWidth="1"/>
    <col min="7" max="7" width="10.58203125" bestFit="1" customWidth="1"/>
  </cols>
  <sheetData>
    <row r="1" spans="1:7" x14ac:dyDescent="0.45">
      <c r="A1" s="5" t="s">
        <v>55</v>
      </c>
      <c r="B1" s="5" t="s">
        <v>3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48</v>
      </c>
    </row>
    <row r="2" spans="1:7" x14ac:dyDescent="0.45">
      <c r="A2" t="s">
        <v>14</v>
      </c>
      <c r="B2" t="s">
        <v>16</v>
      </c>
      <c r="C2" s="6">
        <v>45902</v>
      </c>
      <c r="D2">
        <v>98</v>
      </c>
      <c r="E2">
        <v>0</v>
      </c>
      <c r="F2">
        <v>98</v>
      </c>
      <c r="G2">
        <v>0</v>
      </c>
    </row>
    <row r="3" spans="1:7" x14ac:dyDescent="0.45">
      <c r="A3" t="s">
        <v>14</v>
      </c>
      <c r="B3" t="s">
        <v>16</v>
      </c>
      <c r="C3" s="6">
        <v>45945</v>
      </c>
      <c r="D3">
        <v>290</v>
      </c>
      <c r="E3">
        <v>0</v>
      </c>
      <c r="F3">
        <v>290</v>
      </c>
      <c r="G3">
        <v>0</v>
      </c>
    </row>
    <row r="4" spans="1:7" x14ac:dyDescent="0.45">
      <c r="A4" t="s">
        <v>14</v>
      </c>
      <c r="B4" t="s">
        <v>16</v>
      </c>
      <c r="C4" s="6">
        <v>46001</v>
      </c>
      <c r="D4">
        <v>155</v>
      </c>
      <c r="E4">
        <v>3</v>
      </c>
      <c r="F4">
        <v>158</v>
      </c>
      <c r="G4">
        <v>18987.3417721519</v>
      </c>
    </row>
    <row r="5" spans="1:7" x14ac:dyDescent="0.45">
      <c r="A5" t="s">
        <v>14</v>
      </c>
      <c r="B5" t="s">
        <v>17</v>
      </c>
      <c r="C5" s="6">
        <v>45917</v>
      </c>
      <c r="D5">
        <v>2</v>
      </c>
      <c r="E5">
        <v>0</v>
      </c>
      <c r="F5">
        <v>2</v>
      </c>
      <c r="G5">
        <v>0</v>
      </c>
    </row>
    <row r="6" spans="1:7" x14ac:dyDescent="0.45">
      <c r="A6" t="s">
        <v>14</v>
      </c>
      <c r="B6" t="s">
        <v>17</v>
      </c>
      <c r="C6" s="6">
        <v>45918</v>
      </c>
      <c r="D6">
        <v>30</v>
      </c>
      <c r="E6">
        <v>2</v>
      </c>
      <c r="F6">
        <v>32</v>
      </c>
      <c r="G6">
        <v>62500</v>
      </c>
    </row>
    <row r="7" spans="1:7" x14ac:dyDescent="0.45">
      <c r="A7" t="s">
        <v>14</v>
      </c>
      <c r="B7" t="s">
        <v>17</v>
      </c>
      <c r="C7" s="6">
        <v>45929</v>
      </c>
      <c r="D7">
        <v>21</v>
      </c>
      <c r="E7">
        <v>1</v>
      </c>
      <c r="F7">
        <v>22</v>
      </c>
      <c r="G7">
        <v>45454.545454545463</v>
      </c>
    </row>
    <row r="8" spans="1:7" x14ac:dyDescent="0.45">
      <c r="A8" t="s">
        <v>14</v>
      </c>
      <c r="B8" t="s">
        <v>17</v>
      </c>
      <c r="C8" s="6">
        <v>46006</v>
      </c>
      <c r="D8">
        <v>44</v>
      </c>
      <c r="E8">
        <v>2</v>
      </c>
      <c r="F8">
        <v>46</v>
      </c>
      <c r="G8">
        <v>43478.260869565223</v>
      </c>
    </row>
    <row r="9" spans="1:7" x14ac:dyDescent="0.45">
      <c r="A9" t="s">
        <v>14</v>
      </c>
      <c r="B9" t="s">
        <v>17</v>
      </c>
      <c r="C9" s="6">
        <v>46007</v>
      </c>
      <c r="D9">
        <v>138</v>
      </c>
      <c r="E9">
        <v>14</v>
      </c>
      <c r="F9">
        <v>152</v>
      </c>
      <c r="G9">
        <v>92105.263157894733</v>
      </c>
    </row>
    <row r="10" spans="1:7" x14ac:dyDescent="0.45">
      <c r="A10" t="s">
        <v>14</v>
      </c>
      <c r="B10" t="s">
        <v>18</v>
      </c>
      <c r="C10" s="6">
        <v>45901</v>
      </c>
      <c r="D10">
        <v>279</v>
      </c>
      <c r="E10">
        <v>39</v>
      </c>
      <c r="F10">
        <v>318</v>
      </c>
      <c r="G10">
        <v>122641.5094339623</v>
      </c>
    </row>
    <row r="11" spans="1:7" x14ac:dyDescent="0.45">
      <c r="A11" t="s">
        <v>14</v>
      </c>
      <c r="B11" t="s">
        <v>18</v>
      </c>
      <c r="C11" s="6">
        <v>45902</v>
      </c>
      <c r="D11">
        <v>953</v>
      </c>
      <c r="E11">
        <v>1</v>
      </c>
      <c r="F11">
        <v>954</v>
      </c>
      <c r="G11">
        <v>1048.2180293501051</v>
      </c>
    </row>
    <row r="12" spans="1:7" x14ac:dyDescent="0.45">
      <c r="A12" t="s">
        <v>14</v>
      </c>
      <c r="B12" t="s">
        <v>18</v>
      </c>
      <c r="C12" s="6">
        <v>45903</v>
      </c>
      <c r="D12">
        <v>848</v>
      </c>
      <c r="E12">
        <v>14</v>
      </c>
      <c r="F12">
        <v>862</v>
      </c>
      <c r="G12">
        <v>16241.299303944321</v>
      </c>
    </row>
    <row r="13" spans="1:7" x14ac:dyDescent="0.45">
      <c r="A13" t="s">
        <v>14</v>
      </c>
      <c r="B13" t="s">
        <v>18</v>
      </c>
      <c r="C13" s="6">
        <v>45904</v>
      </c>
      <c r="D13">
        <v>948</v>
      </c>
      <c r="E13">
        <v>24</v>
      </c>
      <c r="F13">
        <v>972</v>
      </c>
      <c r="G13">
        <v>24691.358024691359</v>
      </c>
    </row>
    <row r="14" spans="1:7" x14ac:dyDescent="0.45">
      <c r="A14" t="s">
        <v>14</v>
      </c>
      <c r="B14" t="s">
        <v>18</v>
      </c>
      <c r="C14" s="6">
        <v>45905</v>
      </c>
      <c r="D14">
        <v>618</v>
      </c>
      <c r="E14">
        <v>12</v>
      </c>
      <c r="F14">
        <v>630</v>
      </c>
      <c r="G14">
        <v>19047.61904761905</v>
      </c>
    </row>
    <row r="15" spans="1:7" x14ac:dyDescent="0.45">
      <c r="A15" t="s">
        <v>14</v>
      </c>
      <c r="B15" t="s">
        <v>18</v>
      </c>
      <c r="C15" s="6">
        <v>45908</v>
      </c>
      <c r="D15">
        <v>341</v>
      </c>
      <c r="E15">
        <v>41</v>
      </c>
      <c r="F15">
        <v>382</v>
      </c>
      <c r="G15">
        <v>107329.84293193719</v>
      </c>
    </row>
    <row r="16" spans="1:7" x14ac:dyDescent="0.45">
      <c r="A16" t="s">
        <v>14</v>
      </c>
      <c r="B16" t="s">
        <v>18</v>
      </c>
      <c r="C16" s="6">
        <v>45909</v>
      </c>
      <c r="D16">
        <v>280</v>
      </c>
      <c r="E16">
        <v>14</v>
      </c>
      <c r="F16">
        <v>294</v>
      </c>
      <c r="G16">
        <v>47619.047619047618</v>
      </c>
    </row>
    <row r="17" spans="1:7" x14ac:dyDescent="0.45">
      <c r="A17" t="s">
        <v>14</v>
      </c>
      <c r="B17" t="s">
        <v>18</v>
      </c>
      <c r="C17" s="6">
        <v>45910</v>
      </c>
      <c r="D17">
        <v>715</v>
      </c>
      <c r="E17">
        <v>3</v>
      </c>
      <c r="F17">
        <v>718</v>
      </c>
      <c r="G17">
        <v>4178.2729805013932</v>
      </c>
    </row>
    <row r="18" spans="1:7" x14ac:dyDescent="0.45">
      <c r="A18" t="s">
        <v>14</v>
      </c>
      <c r="B18" t="s">
        <v>18</v>
      </c>
      <c r="C18" s="6">
        <v>45911</v>
      </c>
      <c r="D18">
        <v>752</v>
      </c>
      <c r="E18">
        <v>8</v>
      </c>
      <c r="F18">
        <v>760</v>
      </c>
      <c r="G18">
        <v>10526.31578947368</v>
      </c>
    </row>
    <row r="19" spans="1:7" x14ac:dyDescent="0.45">
      <c r="A19" t="s">
        <v>14</v>
      </c>
      <c r="B19" t="s">
        <v>18</v>
      </c>
      <c r="C19" s="6">
        <v>45912</v>
      </c>
      <c r="D19">
        <v>786</v>
      </c>
      <c r="E19">
        <v>8</v>
      </c>
      <c r="F19">
        <v>794</v>
      </c>
      <c r="G19">
        <v>10075.56675062972</v>
      </c>
    </row>
    <row r="20" spans="1:7" x14ac:dyDescent="0.45">
      <c r="A20" t="s">
        <v>14</v>
      </c>
      <c r="B20" t="s">
        <v>18</v>
      </c>
      <c r="C20" s="6">
        <v>45915</v>
      </c>
      <c r="D20">
        <v>613</v>
      </c>
      <c r="E20">
        <v>3</v>
      </c>
      <c r="F20">
        <v>616</v>
      </c>
      <c r="G20">
        <v>4870.1298701298701</v>
      </c>
    </row>
    <row r="21" spans="1:7" x14ac:dyDescent="0.45">
      <c r="A21" t="s">
        <v>14</v>
      </c>
      <c r="B21" t="s">
        <v>18</v>
      </c>
      <c r="C21" s="6">
        <v>45916</v>
      </c>
      <c r="D21">
        <v>782</v>
      </c>
      <c r="E21">
        <v>2</v>
      </c>
      <c r="F21">
        <v>784</v>
      </c>
      <c r="G21">
        <v>2551.0204081632651</v>
      </c>
    </row>
    <row r="22" spans="1:7" x14ac:dyDescent="0.45">
      <c r="A22" t="s">
        <v>14</v>
      </c>
      <c r="B22" t="s">
        <v>18</v>
      </c>
      <c r="C22" s="6">
        <v>45917</v>
      </c>
      <c r="D22">
        <v>791</v>
      </c>
      <c r="E22">
        <v>3</v>
      </c>
      <c r="F22">
        <v>794</v>
      </c>
      <c r="G22">
        <v>3778.337531486146</v>
      </c>
    </row>
    <row r="23" spans="1:7" x14ac:dyDescent="0.45">
      <c r="A23" t="s">
        <v>14</v>
      </c>
      <c r="B23" t="s">
        <v>18</v>
      </c>
      <c r="C23" s="6">
        <v>45918</v>
      </c>
      <c r="D23">
        <v>991</v>
      </c>
      <c r="E23">
        <v>1</v>
      </c>
      <c r="F23">
        <v>992</v>
      </c>
      <c r="G23">
        <v>1008.064516129032</v>
      </c>
    </row>
    <row r="24" spans="1:7" x14ac:dyDescent="0.45">
      <c r="A24" t="s">
        <v>14</v>
      </c>
      <c r="B24" t="s">
        <v>18</v>
      </c>
      <c r="C24" s="6">
        <v>45919</v>
      </c>
      <c r="D24">
        <v>788</v>
      </c>
      <c r="E24">
        <v>0</v>
      </c>
      <c r="F24">
        <v>788</v>
      </c>
      <c r="G24">
        <v>0</v>
      </c>
    </row>
    <row r="25" spans="1:7" x14ac:dyDescent="0.45">
      <c r="A25" t="s">
        <v>14</v>
      </c>
      <c r="B25" t="s">
        <v>18</v>
      </c>
      <c r="C25" s="6">
        <v>45922</v>
      </c>
      <c r="D25">
        <v>501</v>
      </c>
      <c r="E25">
        <v>1</v>
      </c>
      <c r="F25">
        <v>502</v>
      </c>
      <c r="G25">
        <v>1992.0318725099601</v>
      </c>
    </row>
    <row r="26" spans="1:7" x14ac:dyDescent="0.45">
      <c r="A26" t="s">
        <v>14</v>
      </c>
      <c r="B26" t="s">
        <v>18</v>
      </c>
      <c r="C26" s="6">
        <v>45923</v>
      </c>
      <c r="D26">
        <v>527</v>
      </c>
      <c r="E26">
        <v>23</v>
      </c>
      <c r="F26">
        <v>550</v>
      </c>
      <c r="G26">
        <v>41818.181818181823</v>
      </c>
    </row>
    <row r="27" spans="1:7" x14ac:dyDescent="0.45">
      <c r="A27" t="s">
        <v>14</v>
      </c>
      <c r="B27" t="s">
        <v>18</v>
      </c>
      <c r="C27" s="6">
        <v>45924</v>
      </c>
      <c r="D27">
        <v>341</v>
      </c>
      <c r="E27">
        <v>1</v>
      </c>
      <c r="F27">
        <v>342</v>
      </c>
      <c r="G27">
        <v>2923.9766081871339</v>
      </c>
    </row>
    <row r="28" spans="1:7" x14ac:dyDescent="0.45">
      <c r="A28" t="s">
        <v>14</v>
      </c>
      <c r="B28" t="s">
        <v>18</v>
      </c>
      <c r="C28" s="6">
        <v>45925</v>
      </c>
      <c r="D28">
        <v>971</v>
      </c>
      <c r="E28">
        <v>13</v>
      </c>
      <c r="F28">
        <v>984</v>
      </c>
      <c r="G28">
        <v>13211.382113821141</v>
      </c>
    </row>
    <row r="29" spans="1:7" x14ac:dyDescent="0.45">
      <c r="A29" t="s">
        <v>14</v>
      </c>
      <c r="B29" t="s">
        <v>18</v>
      </c>
      <c r="C29" s="6">
        <v>45926</v>
      </c>
      <c r="D29">
        <v>291</v>
      </c>
      <c r="E29">
        <v>9</v>
      </c>
      <c r="F29">
        <v>300</v>
      </c>
      <c r="G29">
        <v>30000</v>
      </c>
    </row>
    <row r="30" spans="1:7" x14ac:dyDescent="0.45">
      <c r="A30" t="s">
        <v>14</v>
      </c>
      <c r="B30" t="s">
        <v>18</v>
      </c>
      <c r="C30" s="6">
        <v>45929</v>
      </c>
      <c r="D30">
        <v>386</v>
      </c>
      <c r="E30">
        <v>40</v>
      </c>
      <c r="F30">
        <v>426</v>
      </c>
      <c r="G30">
        <v>93896.713615023473</v>
      </c>
    </row>
    <row r="31" spans="1:7" x14ac:dyDescent="0.45">
      <c r="A31" t="s">
        <v>14</v>
      </c>
      <c r="B31" t="s">
        <v>18</v>
      </c>
      <c r="C31" s="6">
        <v>45930</v>
      </c>
      <c r="D31">
        <v>572</v>
      </c>
      <c r="E31">
        <v>48</v>
      </c>
      <c r="F31">
        <v>620</v>
      </c>
      <c r="G31">
        <v>77419.354838709682</v>
      </c>
    </row>
    <row r="32" spans="1:7" x14ac:dyDescent="0.45">
      <c r="A32" t="s">
        <v>14</v>
      </c>
      <c r="B32" t="s">
        <v>18</v>
      </c>
      <c r="C32" s="6">
        <v>45931</v>
      </c>
      <c r="D32">
        <v>725</v>
      </c>
      <c r="E32">
        <v>23</v>
      </c>
      <c r="F32">
        <v>748</v>
      </c>
      <c r="G32">
        <v>30748.663101604281</v>
      </c>
    </row>
    <row r="33" spans="1:7" x14ac:dyDescent="0.45">
      <c r="A33" t="s">
        <v>14</v>
      </c>
      <c r="B33" t="s">
        <v>18</v>
      </c>
      <c r="C33" s="6">
        <v>45932</v>
      </c>
      <c r="D33">
        <v>835</v>
      </c>
      <c r="E33">
        <v>53</v>
      </c>
      <c r="F33">
        <v>888</v>
      </c>
      <c r="G33">
        <v>59684.684684684689</v>
      </c>
    </row>
    <row r="34" spans="1:7" x14ac:dyDescent="0.45">
      <c r="A34" t="s">
        <v>14</v>
      </c>
      <c r="B34" t="s">
        <v>18</v>
      </c>
      <c r="C34" s="6">
        <v>45940</v>
      </c>
      <c r="D34">
        <v>815</v>
      </c>
      <c r="E34">
        <v>29</v>
      </c>
      <c r="F34">
        <v>844</v>
      </c>
      <c r="G34">
        <v>34360.18957345972</v>
      </c>
    </row>
    <row r="35" spans="1:7" x14ac:dyDescent="0.45">
      <c r="A35" t="s">
        <v>14</v>
      </c>
      <c r="B35" t="s">
        <v>18</v>
      </c>
      <c r="C35" s="6">
        <v>45943</v>
      </c>
      <c r="D35">
        <v>985</v>
      </c>
      <c r="E35">
        <v>21</v>
      </c>
      <c r="F35">
        <v>1006</v>
      </c>
      <c r="G35">
        <v>20874.751491053681</v>
      </c>
    </row>
    <row r="36" spans="1:7" x14ac:dyDescent="0.45">
      <c r="A36" t="s">
        <v>14</v>
      </c>
      <c r="B36" t="s">
        <v>18</v>
      </c>
      <c r="C36" s="6">
        <v>45944</v>
      </c>
      <c r="D36">
        <v>496</v>
      </c>
      <c r="E36">
        <v>20</v>
      </c>
      <c r="F36">
        <v>516</v>
      </c>
      <c r="G36">
        <v>38759.689922480618</v>
      </c>
    </row>
    <row r="37" spans="1:7" x14ac:dyDescent="0.45">
      <c r="A37" t="s">
        <v>14</v>
      </c>
      <c r="B37" t="s">
        <v>18</v>
      </c>
      <c r="C37" s="6">
        <v>45946</v>
      </c>
      <c r="D37">
        <v>617</v>
      </c>
      <c r="E37">
        <v>9</v>
      </c>
      <c r="F37">
        <v>626</v>
      </c>
      <c r="G37">
        <v>14376.996805111819</v>
      </c>
    </row>
    <row r="38" spans="1:7" x14ac:dyDescent="0.45">
      <c r="A38" t="s">
        <v>14</v>
      </c>
      <c r="B38" t="s">
        <v>18</v>
      </c>
      <c r="C38" s="6">
        <v>45947</v>
      </c>
      <c r="D38">
        <v>669</v>
      </c>
      <c r="E38">
        <v>39</v>
      </c>
      <c r="F38">
        <v>708</v>
      </c>
      <c r="G38">
        <v>55084.745762711857</v>
      </c>
    </row>
    <row r="39" spans="1:7" x14ac:dyDescent="0.45">
      <c r="A39" t="s">
        <v>14</v>
      </c>
      <c r="B39" t="s">
        <v>18</v>
      </c>
      <c r="C39" s="6">
        <v>45950</v>
      </c>
      <c r="D39">
        <v>1065</v>
      </c>
      <c r="E39">
        <v>29</v>
      </c>
      <c r="F39">
        <v>1094</v>
      </c>
      <c r="G39">
        <v>26508.226691042051</v>
      </c>
    </row>
    <row r="40" spans="1:7" x14ac:dyDescent="0.45">
      <c r="A40" t="s">
        <v>14</v>
      </c>
      <c r="B40" t="s">
        <v>18</v>
      </c>
      <c r="C40" s="6">
        <v>45951</v>
      </c>
      <c r="D40">
        <v>657</v>
      </c>
      <c r="E40">
        <v>31</v>
      </c>
      <c r="F40">
        <v>688</v>
      </c>
      <c r="G40">
        <v>45058.139534883718</v>
      </c>
    </row>
    <row r="41" spans="1:7" x14ac:dyDescent="0.45">
      <c r="A41" t="s">
        <v>14</v>
      </c>
      <c r="B41" t="s">
        <v>18</v>
      </c>
      <c r="C41" s="6">
        <v>45952</v>
      </c>
      <c r="D41">
        <v>504</v>
      </c>
      <c r="E41">
        <v>14</v>
      </c>
      <c r="F41">
        <v>518</v>
      </c>
      <c r="G41">
        <v>27027.02702702703</v>
      </c>
    </row>
    <row r="42" spans="1:7" x14ac:dyDescent="0.45">
      <c r="A42" t="s">
        <v>14</v>
      </c>
      <c r="B42" t="s">
        <v>18</v>
      </c>
      <c r="C42" s="6">
        <v>45953</v>
      </c>
      <c r="D42">
        <v>709</v>
      </c>
      <c r="E42">
        <v>37</v>
      </c>
      <c r="F42">
        <v>746</v>
      </c>
      <c r="G42">
        <v>49597.855227882043</v>
      </c>
    </row>
    <row r="43" spans="1:7" x14ac:dyDescent="0.45">
      <c r="A43" t="s">
        <v>14</v>
      </c>
      <c r="B43" t="s">
        <v>18</v>
      </c>
      <c r="C43" s="6">
        <v>45954</v>
      </c>
      <c r="D43">
        <v>515</v>
      </c>
      <c r="E43">
        <v>21</v>
      </c>
      <c r="F43">
        <v>536</v>
      </c>
      <c r="G43">
        <v>39179.104477611952</v>
      </c>
    </row>
    <row r="44" spans="1:7" x14ac:dyDescent="0.45">
      <c r="A44" t="s">
        <v>14</v>
      </c>
      <c r="B44" t="s">
        <v>18</v>
      </c>
      <c r="C44" s="6">
        <v>45957</v>
      </c>
      <c r="D44">
        <v>701</v>
      </c>
      <c r="E44">
        <v>15</v>
      </c>
      <c r="F44">
        <v>716</v>
      </c>
      <c r="G44">
        <v>20949.72067039106</v>
      </c>
    </row>
    <row r="45" spans="1:7" x14ac:dyDescent="0.45">
      <c r="A45" t="s">
        <v>14</v>
      </c>
      <c r="B45" t="s">
        <v>18</v>
      </c>
      <c r="C45" s="6">
        <v>45960</v>
      </c>
      <c r="D45">
        <v>146</v>
      </c>
      <c r="E45">
        <v>6</v>
      </c>
      <c r="F45">
        <v>152</v>
      </c>
      <c r="G45">
        <v>39473.684210526313</v>
      </c>
    </row>
    <row r="46" spans="1:7" x14ac:dyDescent="0.45">
      <c r="A46" t="s">
        <v>14</v>
      </c>
      <c r="B46" t="s">
        <v>18</v>
      </c>
      <c r="C46" s="6">
        <v>45961</v>
      </c>
      <c r="D46">
        <v>987</v>
      </c>
      <c r="E46">
        <v>15</v>
      </c>
      <c r="F46">
        <v>1002</v>
      </c>
      <c r="G46">
        <v>14970.05988023952</v>
      </c>
    </row>
    <row r="47" spans="1:7" x14ac:dyDescent="0.45">
      <c r="A47" t="s">
        <v>14</v>
      </c>
      <c r="B47" t="s">
        <v>18</v>
      </c>
      <c r="C47" s="6">
        <v>45962</v>
      </c>
      <c r="D47">
        <v>829</v>
      </c>
      <c r="E47">
        <v>19</v>
      </c>
      <c r="F47">
        <v>848</v>
      </c>
      <c r="G47">
        <v>22405.66037735849</v>
      </c>
    </row>
    <row r="48" spans="1:7" x14ac:dyDescent="0.45">
      <c r="A48" t="s">
        <v>14</v>
      </c>
      <c r="B48" t="s">
        <v>18</v>
      </c>
      <c r="C48" s="6">
        <v>45965</v>
      </c>
      <c r="D48">
        <v>350</v>
      </c>
      <c r="E48">
        <v>0</v>
      </c>
      <c r="F48">
        <v>350</v>
      </c>
      <c r="G48">
        <v>0</v>
      </c>
    </row>
    <row r="49" spans="1:7" x14ac:dyDescent="0.45">
      <c r="A49" t="s">
        <v>14</v>
      </c>
      <c r="B49" t="s">
        <v>18</v>
      </c>
      <c r="C49" s="6">
        <v>45966</v>
      </c>
      <c r="D49">
        <v>135</v>
      </c>
      <c r="E49">
        <v>3</v>
      </c>
      <c r="F49">
        <v>138</v>
      </c>
      <c r="G49">
        <v>21739.130434782612</v>
      </c>
    </row>
    <row r="50" spans="1:7" x14ac:dyDescent="0.45">
      <c r="A50" t="s">
        <v>14</v>
      </c>
      <c r="B50" t="s">
        <v>18</v>
      </c>
      <c r="C50" s="6">
        <v>45967</v>
      </c>
      <c r="D50">
        <v>867</v>
      </c>
      <c r="E50">
        <v>19</v>
      </c>
      <c r="F50">
        <v>886</v>
      </c>
      <c r="G50">
        <v>21444.695259593678</v>
      </c>
    </row>
    <row r="51" spans="1:7" x14ac:dyDescent="0.45">
      <c r="A51" t="s">
        <v>14</v>
      </c>
      <c r="B51" t="s">
        <v>18</v>
      </c>
      <c r="C51" s="6">
        <v>45968</v>
      </c>
      <c r="D51">
        <v>446</v>
      </c>
      <c r="E51">
        <v>6</v>
      </c>
      <c r="F51">
        <v>452</v>
      </c>
      <c r="G51">
        <v>13274.336283185839</v>
      </c>
    </row>
    <row r="52" spans="1:7" x14ac:dyDescent="0.45">
      <c r="A52" t="s">
        <v>14</v>
      </c>
      <c r="B52" t="s">
        <v>18</v>
      </c>
      <c r="C52" s="6">
        <v>45971</v>
      </c>
      <c r="D52">
        <v>58</v>
      </c>
      <c r="E52">
        <v>0</v>
      </c>
      <c r="F52">
        <v>58</v>
      </c>
      <c r="G52">
        <v>0</v>
      </c>
    </row>
    <row r="53" spans="1:7" x14ac:dyDescent="0.45">
      <c r="A53" t="s">
        <v>14</v>
      </c>
      <c r="B53" t="s">
        <v>18</v>
      </c>
      <c r="C53" s="6">
        <v>45972</v>
      </c>
      <c r="D53">
        <v>721</v>
      </c>
      <c r="E53">
        <v>37</v>
      </c>
      <c r="F53">
        <v>758</v>
      </c>
      <c r="G53">
        <v>48812.664907651713</v>
      </c>
    </row>
    <row r="54" spans="1:7" x14ac:dyDescent="0.45">
      <c r="A54" t="s">
        <v>14</v>
      </c>
      <c r="B54" t="s">
        <v>18</v>
      </c>
      <c r="C54" s="6">
        <v>45974</v>
      </c>
      <c r="D54">
        <v>575</v>
      </c>
      <c r="E54">
        <v>19</v>
      </c>
      <c r="F54">
        <v>594</v>
      </c>
      <c r="G54">
        <v>31986.531986531991</v>
      </c>
    </row>
    <row r="55" spans="1:7" x14ac:dyDescent="0.45">
      <c r="A55" t="s">
        <v>14</v>
      </c>
      <c r="B55" t="s">
        <v>18</v>
      </c>
      <c r="C55" s="6">
        <v>45975</v>
      </c>
      <c r="D55">
        <v>624</v>
      </c>
      <c r="E55">
        <v>10</v>
      </c>
      <c r="F55">
        <v>634</v>
      </c>
      <c r="G55">
        <v>15772.870662460569</v>
      </c>
    </row>
    <row r="56" spans="1:7" x14ac:dyDescent="0.45">
      <c r="A56" t="s">
        <v>14</v>
      </c>
      <c r="B56" t="s">
        <v>18</v>
      </c>
      <c r="C56" s="6">
        <v>45976</v>
      </c>
      <c r="D56">
        <v>4</v>
      </c>
      <c r="E56">
        <v>0</v>
      </c>
      <c r="F56">
        <v>4</v>
      </c>
      <c r="G56">
        <v>0</v>
      </c>
    </row>
    <row r="57" spans="1:7" x14ac:dyDescent="0.45">
      <c r="A57" t="s">
        <v>14</v>
      </c>
      <c r="B57" t="s">
        <v>18</v>
      </c>
      <c r="C57" s="6">
        <v>45978</v>
      </c>
      <c r="D57">
        <v>996</v>
      </c>
      <c r="E57">
        <v>18</v>
      </c>
      <c r="F57">
        <v>1014</v>
      </c>
      <c r="G57">
        <v>17751.479289940831</v>
      </c>
    </row>
    <row r="58" spans="1:7" x14ac:dyDescent="0.45">
      <c r="A58" t="s">
        <v>14</v>
      </c>
      <c r="B58" t="s">
        <v>18</v>
      </c>
      <c r="C58" s="6">
        <v>45979</v>
      </c>
      <c r="D58">
        <v>398</v>
      </c>
      <c r="E58">
        <v>2</v>
      </c>
      <c r="F58">
        <v>400</v>
      </c>
      <c r="G58">
        <v>5000</v>
      </c>
    </row>
    <row r="59" spans="1:7" x14ac:dyDescent="0.45">
      <c r="A59" t="s">
        <v>14</v>
      </c>
      <c r="B59" t="s">
        <v>18</v>
      </c>
      <c r="C59" s="6">
        <v>45980</v>
      </c>
      <c r="D59">
        <v>796</v>
      </c>
      <c r="E59">
        <v>4</v>
      </c>
      <c r="F59">
        <v>800</v>
      </c>
      <c r="G59">
        <v>5000</v>
      </c>
    </row>
    <row r="60" spans="1:7" x14ac:dyDescent="0.45">
      <c r="A60" t="s">
        <v>14</v>
      </c>
      <c r="B60" t="s">
        <v>18</v>
      </c>
      <c r="C60" s="6">
        <v>45981</v>
      </c>
      <c r="D60">
        <v>956</v>
      </c>
      <c r="E60">
        <v>10</v>
      </c>
      <c r="F60">
        <v>966</v>
      </c>
      <c r="G60">
        <v>10351.966873706</v>
      </c>
    </row>
    <row r="61" spans="1:7" x14ac:dyDescent="0.45">
      <c r="A61" t="s">
        <v>14</v>
      </c>
      <c r="B61" t="s">
        <v>18</v>
      </c>
      <c r="C61" s="6">
        <v>45982</v>
      </c>
      <c r="D61">
        <v>496</v>
      </c>
      <c r="E61">
        <v>4</v>
      </c>
      <c r="F61">
        <v>500</v>
      </c>
      <c r="G61">
        <v>8000</v>
      </c>
    </row>
    <row r="62" spans="1:7" x14ac:dyDescent="0.45">
      <c r="A62" t="s">
        <v>14</v>
      </c>
      <c r="B62" t="s">
        <v>18</v>
      </c>
      <c r="C62" s="6">
        <v>45987</v>
      </c>
      <c r="D62">
        <v>496</v>
      </c>
      <c r="E62">
        <v>2</v>
      </c>
      <c r="F62">
        <v>498</v>
      </c>
      <c r="G62">
        <v>4016.064257028112</v>
      </c>
    </row>
    <row r="63" spans="1:7" x14ac:dyDescent="0.45">
      <c r="A63" t="s">
        <v>14</v>
      </c>
      <c r="B63" t="s">
        <v>18</v>
      </c>
      <c r="C63" s="6">
        <v>45988</v>
      </c>
      <c r="D63">
        <v>537</v>
      </c>
      <c r="E63">
        <v>3</v>
      </c>
      <c r="F63">
        <v>540</v>
      </c>
      <c r="G63">
        <v>5555.5555555555557</v>
      </c>
    </row>
    <row r="64" spans="1:7" x14ac:dyDescent="0.45">
      <c r="A64" t="s">
        <v>14</v>
      </c>
      <c r="B64" t="s">
        <v>18</v>
      </c>
      <c r="C64" s="6">
        <v>45989</v>
      </c>
      <c r="D64">
        <v>892</v>
      </c>
      <c r="E64">
        <v>12</v>
      </c>
      <c r="F64">
        <v>904</v>
      </c>
      <c r="G64">
        <v>13274.336283185839</v>
      </c>
    </row>
    <row r="65" spans="1:7" x14ac:dyDescent="0.45">
      <c r="A65" t="s">
        <v>14</v>
      </c>
      <c r="B65" t="s">
        <v>18</v>
      </c>
      <c r="C65" s="6">
        <v>45992</v>
      </c>
      <c r="D65">
        <v>639</v>
      </c>
      <c r="E65">
        <v>15</v>
      </c>
      <c r="F65">
        <v>654</v>
      </c>
      <c r="G65">
        <v>22935.779816513761</v>
      </c>
    </row>
    <row r="66" spans="1:7" x14ac:dyDescent="0.45">
      <c r="A66" t="s">
        <v>14</v>
      </c>
      <c r="B66" t="s">
        <v>18</v>
      </c>
      <c r="C66" s="6">
        <v>45993</v>
      </c>
      <c r="D66">
        <v>698</v>
      </c>
      <c r="E66">
        <v>2</v>
      </c>
      <c r="F66">
        <v>700</v>
      </c>
      <c r="G66">
        <v>2857.1428571428569</v>
      </c>
    </row>
    <row r="67" spans="1:7" x14ac:dyDescent="0.45">
      <c r="A67" t="s">
        <v>14</v>
      </c>
      <c r="B67" t="s">
        <v>18</v>
      </c>
      <c r="C67" s="6">
        <v>45994</v>
      </c>
      <c r="D67">
        <v>448</v>
      </c>
      <c r="E67">
        <v>0</v>
      </c>
      <c r="F67">
        <v>448</v>
      </c>
      <c r="G67">
        <v>0</v>
      </c>
    </row>
    <row r="68" spans="1:7" x14ac:dyDescent="0.45">
      <c r="A68" t="s">
        <v>14</v>
      </c>
      <c r="B68" t="s">
        <v>18</v>
      </c>
      <c r="C68" s="6">
        <v>45995</v>
      </c>
      <c r="D68">
        <v>412</v>
      </c>
      <c r="E68">
        <v>6</v>
      </c>
      <c r="F68">
        <v>418</v>
      </c>
      <c r="G68">
        <v>14354.06698564593</v>
      </c>
    </row>
    <row r="69" spans="1:7" x14ac:dyDescent="0.45">
      <c r="A69" t="s">
        <v>14</v>
      </c>
      <c r="B69" t="s">
        <v>18</v>
      </c>
      <c r="C69" s="6">
        <v>45996</v>
      </c>
      <c r="D69">
        <v>297</v>
      </c>
      <c r="E69">
        <v>13</v>
      </c>
      <c r="F69">
        <v>310</v>
      </c>
      <c r="G69">
        <v>41935.483870967742</v>
      </c>
    </row>
    <row r="70" spans="1:7" x14ac:dyDescent="0.45">
      <c r="A70" t="s">
        <v>14</v>
      </c>
      <c r="B70" t="s">
        <v>18</v>
      </c>
      <c r="C70" s="6">
        <v>45999</v>
      </c>
      <c r="D70">
        <v>476</v>
      </c>
      <c r="E70">
        <v>8</v>
      </c>
      <c r="F70">
        <v>484</v>
      </c>
      <c r="G70">
        <v>16528.92561983471</v>
      </c>
    </row>
    <row r="71" spans="1:7" x14ac:dyDescent="0.45">
      <c r="A71" t="s">
        <v>14</v>
      </c>
      <c r="B71" t="s">
        <v>18</v>
      </c>
      <c r="C71" s="6">
        <v>46000</v>
      </c>
      <c r="D71">
        <v>98</v>
      </c>
      <c r="E71">
        <v>0</v>
      </c>
      <c r="F71">
        <v>98</v>
      </c>
      <c r="G71">
        <v>0</v>
      </c>
    </row>
    <row r="72" spans="1:7" x14ac:dyDescent="0.45">
      <c r="A72" t="s">
        <v>14</v>
      </c>
      <c r="B72" t="s">
        <v>18</v>
      </c>
      <c r="C72" s="6">
        <v>46001</v>
      </c>
      <c r="D72">
        <v>493</v>
      </c>
      <c r="E72">
        <v>1</v>
      </c>
      <c r="F72">
        <v>494</v>
      </c>
      <c r="G72">
        <v>2024.291497975709</v>
      </c>
    </row>
    <row r="73" spans="1:7" x14ac:dyDescent="0.45">
      <c r="A73" t="s">
        <v>14</v>
      </c>
      <c r="B73" t="s">
        <v>18</v>
      </c>
      <c r="C73" s="6">
        <v>46002</v>
      </c>
      <c r="D73">
        <v>441</v>
      </c>
      <c r="E73">
        <v>7</v>
      </c>
      <c r="F73">
        <v>448</v>
      </c>
      <c r="G73">
        <v>15625</v>
      </c>
    </row>
    <row r="74" spans="1:7" x14ac:dyDescent="0.45">
      <c r="A74" t="s">
        <v>14</v>
      </c>
      <c r="B74" t="s">
        <v>18</v>
      </c>
      <c r="C74" s="6">
        <v>46003</v>
      </c>
      <c r="D74">
        <v>356</v>
      </c>
      <c r="E74">
        <v>0</v>
      </c>
      <c r="F74">
        <v>356</v>
      </c>
      <c r="G74">
        <v>0</v>
      </c>
    </row>
    <row r="75" spans="1:7" x14ac:dyDescent="0.45">
      <c r="A75" t="s">
        <v>14</v>
      </c>
      <c r="B75" t="s">
        <v>18</v>
      </c>
      <c r="C75" s="6">
        <v>46006</v>
      </c>
      <c r="D75">
        <v>49</v>
      </c>
      <c r="E75">
        <v>1</v>
      </c>
      <c r="F75">
        <v>50</v>
      </c>
      <c r="G75">
        <v>20000</v>
      </c>
    </row>
    <row r="76" spans="1:7" x14ac:dyDescent="0.45">
      <c r="A76" t="s">
        <v>14</v>
      </c>
      <c r="B76" t="s">
        <v>18</v>
      </c>
      <c r="C76" s="6">
        <v>46007</v>
      </c>
      <c r="D76">
        <v>100</v>
      </c>
      <c r="E76">
        <v>0</v>
      </c>
      <c r="F76">
        <v>100</v>
      </c>
      <c r="G76">
        <v>0</v>
      </c>
    </row>
    <row r="77" spans="1:7" x14ac:dyDescent="0.45">
      <c r="A77" t="s">
        <v>14</v>
      </c>
      <c r="B77" t="s">
        <v>18</v>
      </c>
      <c r="C77" s="6">
        <v>46008</v>
      </c>
      <c r="D77">
        <v>453</v>
      </c>
      <c r="E77">
        <v>15</v>
      </c>
      <c r="F77">
        <v>468</v>
      </c>
      <c r="G77">
        <v>32051.282051282051</v>
      </c>
    </row>
    <row r="78" spans="1:7" x14ac:dyDescent="0.45">
      <c r="A78" t="s">
        <v>14</v>
      </c>
      <c r="B78" t="s">
        <v>18</v>
      </c>
      <c r="C78" s="6">
        <v>46009</v>
      </c>
      <c r="D78">
        <v>1138</v>
      </c>
      <c r="E78">
        <v>28</v>
      </c>
      <c r="F78">
        <v>1166</v>
      </c>
      <c r="G78">
        <v>24013.722126929672</v>
      </c>
    </row>
    <row r="79" spans="1:7" x14ac:dyDescent="0.45">
      <c r="A79" t="s">
        <v>14</v>
      </c>
      <c r="B79" t="s">
        <v>18</v>
      </c>
      <c r="C79" s="6">
        <v>46010</v>
      </c>
      <c r="D79">
        <v>285</v>
      </c>
      <c r="E79">
        <v>1</v>
      </c>
      <c r="F79">
        <v>286</v>
      </c>
      <c r="G79">
        <v>3496.503496503497</v>
      </c>
    </row>
    <row r="80" spans="1:7" x14ac:dyDescent="0.45">
      <c r="A80" t="s">
        <v>14</v>
      </c>
      <c r="B80" t="s">
        <v>18</v>
      </c>
      <c r="C80" s="6">
        <v>46015</v>
      </c>
      <c r="D80">
        <v>692</v>
      </c>
      <c r="E80">
        <v>2</v>
      </c>
      <c r="F80">
        <v>694</v>
      </c>
      <c r="G80">
        <v>2881.8443804034582</v>
      </c>
    </row>
    <row r="81" spans="1:7" x14ac:dyDescent="0.45">
      <c r="A81" t="s">
        <v>14</v>
      </c>
      <c r="B81" t="s">
        <v>19</v>
      </c>
      <c r="C81" s="6">
        <v>45903</v>
      </c>
      <c r="D81">
        <v>49</v>
      </c>
      <c r="E81">
        <v>1</v>
      </c>
      <c r="F81">
        <v>50</v>
      </c>
      <c r="G81">
        <v>20000</v>
      </c>
    </row>
    <row r="82" spans="1:7" x14ac:dyDescent="0.45">
      <c r="A82" t="s">
        <v>14</v>
      </c>
      <c r="B82" t="s">
        <v>19</v>
      </c>
      <c r="C82" s="6">
        <v>45915</v>
      </c>
      <c r="D82">
        <v>194</v>
      </c>
      <c r="E82">
        <v>6</v>
      </c>
      <c r="F82">
        <v>200</v>
      </c>
      <c r="G82">
        <v>30000</v>
      </c>
    </row>
    <row r="83" spans="1:7" x14ac:dyDescent="0.45">
      <c r="A83" t="s">
        <v>14</v>
      </c>
      <c r="B83" t="s">
        <v>19</v>
      </c>
      <c r="C83" s="6">
        <v>45945</v>
      </c>
      <c r="D83">
        <v>26</v>
      </c>
      <c r="E83">
        <v>12</v>
      </c>
      <c r="F83">
        <v>38</v>
      </c>
      <c r="G83">
        <v>315789.4736842105</v>
      </c>
    </row>
    <row r="84" spans="1:7" x14ac:dyDescent="0.45">
      <c r="A84" t="s">
        <v>14</v>
      </c>
      <c r="B84" t="s">
        <v>19</v>
      </c>
      <c r="C84" s="6">
        <v>45947</v>
      </c>
      <c r="D84">
        <v>84</v>
      </c>
      <c r="E84">
        <v>8</v>
      </c>
      <c r="F84">
        <v>92</v>
      </c>
      <c r="G84">
        <v>86956.521739130432</v>
      </c>
    </row>
    <row r="85" spans="1:7" x14ac:dyDescent="0.45">
      <c r="A85" t="s">
        <v>14</v>
      </c>
      <c r="B85" t="s">
        <v>19</v>
      </c>
      <c r="C85" s="6">
        <v>45950</v>
      </c>
      <c r="D85">
        <v>52</v>
      </c>
      <c r="E85">
        <v>8</v>
      </c>
      <c r="F85">
        <v>60</v>
      </c>
      <c r="G85">
        <v>133333.33333333331</v>
      </c>
    </row>
    <row r="86" spans="1:7" x14ac:dyDescent="0.45">
      <c r="A86" t="s">
        <v>14</v>
      </c>
      <c r="B86" t="s">
        <v>19</v>
      </c>
      <c r="C86" s="6">
        <v>45958</v>
      </c>
      <c r="D86">
        <v>27</v>
      </c>
      <c r="E86">
        <v>3</v>
      </c>
      <c r="F86">
        <v>30</v>
      </c>
      <c r="G86">
        <v>100000</v>
      </c>
    </row>
    <row r="87" spans="1:7" x14ac:dyDescent="0.45">
      <c r="A87" t="s">
        <v>14</v>
      </c>
      <c r="B87" t="s">
        <v>19</v>
      </c>
      <c r="C87" s="6">
        <v>45967</v>
      </c>
      <c r="D87">
        <v>49</v>
      </c>
      <c r="E87">
        <v>1</v>
      </c>
      <c r="F87">
        <v>50</v>
      </c>
      <c r="G87">
        <v>20000</v>
      </c>
    </row>
    <row r="88" spans="1:7" x14ac:dyDescent="0.45">
      <c r="A88" t="s">
        <v>14</v>
      </c>
      <c r="B88" t="s">
        <v>19</v>
      </c>
      <c r="C88" s="6">
        <v>45972</v>
      </c>
      <c r="D88">
        <v>48</v>
      </c>
      <c r="E88">
        <v>2</v>
      </c>
      <c r="F88">
        <v>50</v>
      </c>
      <c r="G88">
        <v>40000</v>
      </c>
    </row>
    <row r="89" spans="1:7" x14ac:dyDescent="0.45">
      <c r="A89" t="s">
        <v>14</v>
      </c>
      <c r="B89" t="s">
        <v>19</v>
      </c>
      <c r="C89" s="6">
        <v>45979</v>
      </c>
      <c r="D89">
        <v>20</v>
      </c>
      <c r="E89">
        <v>0</v>
      </c>
      <c r="F89">
        <v>20</v>
      </c>
      <c r="G89">
        <v>0</v>
      </c>
    </row>
    <row r="90" spans="1:7" x14ac:dyDescent="0.45">
      <c r="A90" t="s">
        <v>14</v>
      </c>
      <c r="B90" t="s">
        <v>19</v>
      </c>
      <c r="C90" s="6">
        <v>45982</v>
      </c>
      <c r="D90">
        <v>52</v>
      </c>
      <c r="E90">
        <v>0</v>
      </c>
      <c r="F90">
        <v>52</v>
      </c>
      <c r="G90">
        <v>0</v>
      </c>
    </row>
    <row r="91" spans="1:7" x14ac:dyDescent="0.45">
      <c r="A91" t="s">
        <v>14</v>
      </c>
      <c r="B91" t="s">
        <v>19</v>
      </c>
      <c r="C91" s="6">
        <v>46007</v>
      </c>
      <c r="D91">
        <v>122</v>
      </c>
      <c r="E91">
        <v>4</v>
      </c>
      <c r="F91">
        <v>126</v>
      </c>
      <c r="G91">
        <v>31746.031746031749</v>
      </c>
    </row>
    <row r="92" spans="1:7" x14ac:dyDescent="0.45">
      <c r="A92" t="s">
        <v>14</v>
      </c>
      <c r="B92" t="s">
        <v>19</v>
      </c>
      <c r="C92" s="6">
        <v>46014</v>
      </c>
      <c r="D92">
        <v>200</v>
      </c>
      <c r="E92">
        <v>10</v>
      </c>
      <c r="F92">
        <v>210</v>
      </c>
      <c r="G92">
        <v>47619.047619047618</v>
      </c>
    </row>
    <row r="93" spans="1:7" x14ac:dyDescent="0.45">
      <c r="A93" t="s">
        <v>14</v>
      </c>
      <c r="B93" t="s">
        <v>20</v>
      </c>
      <c r="C93" s="6">
        <v>45909</v>
      </c>
      <c r="D93">
        <v>198</v>
      </c>
      <c r="E93">
        <v>0</v>
      </c>
      <c r="F93">
        <v>198</v>
      </c>
      <c r="G93">
        <v>0</v>
      </c>
    </row>
    <row r="94" spans="1:7" x14ac:dyDescent="0.45">
      <c r="A94" t="s">
        <v>14</v>
      </c>
      <c r="B94" t="s">
        <v>20</v>
      </c>
      <c r="C94" s="6">
        <v>45911</v>
      </c>
      <c r="D94">
        <v>119</v>
      </c>
      <c r="E94">
        <v>1</v>
      </c>
      <c r="F94">
        <v>120</v>
      </c>
      <c r="G94">
        <v>8333.3333333333339</v>
      </c>
    </row>
    <row r="95" spans="1:7" x14ac:dyDescent="0.45">
      <c r="A95" t="s">
        <v>14</v>
      </c>
      <c r="B95" t="s">
        <v>20</v>
      </c>
      <c r="C95" s="6">
        <v>45916</v>
      </c>
      <c r="D95">
        <v>298</v>
      </c>
      <c r="E95">
        <v>0</v>
      </c>
      <c r="F95">
        <v>298</v>
      </c>
      <c r="G95">
        <v>0</v>
      </c>
    </row>
    <row r="96" spans="1:7" x14ac:dyDescent="0.45">
      <c r="A96" t="s">
        <v>14</v>
      </c>
      <c r="B96" t="s">
        <v>20</v>
      </c>
      <c r="C96" s="6">
        <v>45917</v>
      </c>
      <c r="D96">
        <v>374</v>
      </c>
      <c r="E96">
        <v>2</v>
      </c>
      <c r="F96">
        <v>376</v>
      </c>
      <c r="G96">
        <v>5319.1489361702124</v>
      </c>
    </row>
    <row r="97" spans="1:7" x14ac:dyDescent="0.45">
      <c r="A97" t="s">
        <v>14</v>
      </c>
      <c r="B97" t="s">
        <v>20</v>
      </c>
      <c r="C97" s="6">
        <v>45919</v>
      </c>
      <c r="D97">
        <v>100</v>
      </c>
      <c r="E97">
        <v>0</v>
      </c>
      <c r="F97">
        <v>100</v>
      </c>
      <c r="G97">
        <v>0</v>
      </c>
    </row>
    <row r="98" spans="1:7" x14ac:dyDescent="0.45">
      <c r="A98" t="s">
        <v>14</v>
      </c>
      <c r="B98" t="s">
        <v>20</v>
      </c>
      <c r="C98" s="6">
        <v>45922</v>
      </c>
      <c r="D98">
        <v>234</v>
      </c>
      <c r="E98">
        <v>6</v>
      </c>
      <c r="F98">
        <v>240</v>
      </c>
      <c r="G98">
        <v>25000</v>
      </c>
    </row>
    <row r="99" spans="1:7" x14ac:dyDescent="0.45">
      <c r="A99" t="s">
        <v>14</v>
      </c>
      <c r="B99" t="s">
        <v>20</v>
      </c>
      <c r="C99" s="6">
        <v>45923</v>
      </c>
      <c r="D99">
        <v>624</v>
      </c>
      <c r="E99">
        <v>22</v>
      </c>
      <c r="F99">
        <v>646</v>
      </c>
      <c r="G99">
        <v>34055.727554179561</v>
      </c>
    </row>
    <row r="100" spans="1:7" x14ac:dyDescent="0.45">
      <c r="A100" t="s">
        <v>14</v>
      </c>
      <c r="B100" t="s">
        <v>20</v>
      </c>
      <c r="C100" s="6">
        <v>45924</v>
      </c>
      <c r="D100">
        <v>22</v>
      </c>
      <c r="E100">
        <v>0</v>
      </c>
      <c r="F100">
        <v>22</v>
      </c>
      <c r="G100">
        <v>0</v>
      </c>
    </row>
    <row r="101" spans="1:7" x14ac:dyDescent="0.45">
      <c r="A101" t="s">
        <v>14</v>
      </c>
      <c r="B101" t="s">
        <v>20</v>
      </c>
      <c r="C101" s="6">
        <v>45925</v>
      </c>
      <c r="D101">
        <v>48</v>
      </c>
      <c r="E101">
        <v>2</v>
      </c>
      <c r="F101">
        <v>50</v>
      </c>
      <c r="G101">
        <v>40000</v>
      </c>
    </row>
    <row r="102" spans="1:7" x14ac:dyDescent="0.45">
      <c r="A102" t="s">
        <v>14</v>
      </c>
      <c r="B102" t="s">
        <v>20</v>
      </c>
      <c r="C102" s="6">
        <v>45975</v>
      </c>
      <c r="D102">
        <v>142</v>
      </c>
      <c r="E102">
        <v>8</v>
      </c>
      <c r="F102">
        <v>150</v>
      </c>
      <c r="G102">
        <v>53333.333333333343</v>
      </c>
    </row>
    <row r="103" spans="1:7" x14ac:dyDescent="0.45">
      <c r="A103" t="s">
        <v>14</v>
      </c>
      <c r="B103" t="s">
        <v>20</v>
      </c>
      <c r="C103" s="6">
        <v>45978</v>
      </c>
      <c r="D103">
        <v>117</v>
      </c>
      <c r="E103">
        <v>1</v>
      </c>
      <c r="F103">
        <v>118</v>
      </c>
      <c r="G103">
        <v>8474.5762711864409</v>
      </c>
    </row>
    <row r="104" spans="1:7" x14ac:dyDescent="0.45">
      <c r="A104" t="s">
        <v>14</v>
      </c>
      <c r="B104" t="s">
        <v>20</v>
      </c>
      <c r="C104" s="6">
        <v>45986</v>
      </c>
      <c r="D104">
        <v>26</v>
      </c>
      <c r="E104">
        <v>0</v>
      </c>
      <c r="F104">
        <v>26</v>
      </c>
      <c r="G104">
        <v>0</v>
      </c>
    </row>
    <row r="105" spans="1:7" x14ac:dyDescent="0.45">
      <c r="A105" t="s">
        <v>14</v>
      </c>
      <c r="B105" t="s">
        <v>20</v>
      </c>
      <c r="C105" s="6">
        <v>45988</v>
      </c>
      <c r="D105">
        <v>86</v>
      </c>
      <c r="E105">
        <v>0</v>
      </c>
      <c r="F105">
        <v>86</v>
      </c>
      <c r="G105">
        <v>0</v>
      </c>
    </row>
    <row r="106" spans="1:7" x14ac:dyDescent="0.45">
      <c r="A106" t="s">
        <v>14</v>
      </c>
      <c r="B106" t="s">
        <v>20</v>
      </c>
      <c r="C106" s="6">
        <v>45989</v>
      </c>
      <c r="D106">
        <v>97</v>
      </c>
      <c r="E106">
        <v>1</v>
      </c>
      <c r="F106">
        <v>98</v>
      </c>
      <c r="G106">
        <v>10204.08163265306</v>
      </c>
    </row>
    <row r="107" spans="1:7" x14ac:dyDescent="0.45">
      <c r="A107" t="s">
        <v>14</v>
      </c>
      <c r="B107" t="s">
        <v>21</v>
      </c>
      <c r="C107" s="6">
        <v>45912</v>
      </c>
      <c r="D107">
        <v>4</v>
      </c>
      <c r="E107">
        <v>0</v>
      </c>
      <c r="F107">
        <v>4</v>
      </c>
      <c r="G107">
        <v>0</v>
      </c>
    </row>
    <row r="108" spans="1:7" x14ac:dyDescent="0.45">
      <c r="A108" t="s">
        <v>14</v>
      </c>
      <c r="B108" t="s">
        <v>21</v>
      </c>
      <c r="C108" s="6">
        <v>45952</v>
      </c>
      <c r="D108">
        <v>38</v>
      </c>
      <c r="E108">
        <v>0</v>
      </c>
      <c r="F108">
        <v>38</v>
      </c>
      <c r="G108">
        <v>0</v>
      </c>
    </row>
    <row r="109" spans="1:7" x14ac:dyDescent="0.45">
      <c r="A109" t="s">
        <v>14</v>
      </c>
      <c r="B109" t="s">
        <v>21</v>
      </c>
      <c r="C109" s="6">
        <v>45975</v>
      </c>
      <c r="D109">
        <v>114</v>
      </c>
      <c r="E109">
        <v>6</v>
      </c>
      <c r="F109">
        <v>120</v>
      </c>
      <c r="G109">
        <v>50000</v>
      </c>
    </row>
    <row r="110" spans="1:7" x14ac:dyDescent="0.45">
      <c r="A110" t="s">
        <v>14</v>
      </c>
      <c r="B110" t="s">
        <v>21</v>
      </c>
      <c r="C110" s="6">
        <v>45989</v>
      </c>
      <c r="D110">
        <v>24</v>
      </c>
      <c r="E110">
        <v>0</v>
      </c>
      <c r="F110">
        <v>24</v>
      </c>
      <c r="G110">
        <v>0</v>
      </c>
    </row>
    <row r="111" spans="1:7" x14ac:dyDescent="0.45">
      <c r="A111" t="s">
        <v>14</v>
      </c>
      <c r="B111" t="s">
        <v>21</v>
      </c>
      <c r="C111" s="6">
        <v>45992</v>
      </c>
      <c r="D111">
        <v>11</v>
      </c>
      <c r="E111">
        <v>1</v>
      </c>
      <c r="F111">
        <v>12</v>
      </c>
      <c r="G111">
        <v>83333.333333333328</v>
      </c>
    </row>
    <row r="112" spans="1:7" x14ac:dyDescent="0.45">
      <c r="A112" t="s">
        <v>14</v>
      </c>
      <c r="B112" t="s">
        <v>21</v>
      </c>
      <c r="C112" s="6">
        <v>46003</v>
      </c>
      <c r="D112">
        <v>46</v>
      </c>
      <c r="E112">
        <v>0</v>
      </c>
      <c r="F112">
        <v>46</v>
      </c>
      <c r="G112">
        <v>0</v>
      </c>
    </row>
    <row r="113" spans="1:7" x14ac:dyDescent="0.45">
      <c r="A113" t="s">
        <v>14</v>
      </c>
      <c r="B113" t="s">
        <v>22</v>
      </c>
      <c r="C113" s="6">
        <v>45903</v>
      </c>
      <c r="D113">
        <v>102</v>
      </c>
      <c r="E113">
        <v>4</v>
      </c>
      <c r="F113">
        <v>106</v>
      </c>
      <c r="G113">
        <v>37735.849056603773</v>
      </c>
    </row>
    <row r="114" spans="1:7" x14ac:dyDescent="0.45">
      <c r="A114" t="s">
        <v>14</v>
      </c>
      <c r="B114" t="s">
        <v>22</v>
      </c>
      <c r="C114" s="6">
        <v>45905</v>
      </c>
      <c r="D114">
        <v>120</v>
      </c>
      <c r="E114">
        <v>2</v>
      </c>
      <c r="F114">
        <v>122</v>
      </c>
      <c r="G114">
        <v>16393.442622950821</v>
      </c>
    </row>
    <row r="115" spans="1:7" x14ac:dyDescent="0.45">
      <c r="A115" t="s">
        <v>14</v>
      </c>
      <c r="B115" t="s">
        <v>22</v>
      </c>
      <c r="C115" s="6">
        <v>45911</v>
      </c>
      <c r="D115">
        <v>4</v>
      </c>
      <c r="E115">
        <v>0</v>
      </c>
      <c r="F115">
        <v>4</v>
      </c>
      <c r="G115">
        <v>0</v>
      </c>
    </row>
    <row r="116" spans="1:7" x14ac:dyDescent="0.45">
      <c r="A116" t="s">
        <v>14</v>
      </c>
      <c r="B116" t="s">
        <v>22</v>
      </c>
      <c r="C116" s="6">
        <v>45915</v>
      </c>
      <c r="D116">
        <v>152</v>
      </c>
      <c r="E116">
        <v>2</v>
      </c>
      <c r="F116">
        <v>154</v>
      </c>
      <c r="G116">
        <v>12987.012987012989</v>
      </c>
    </row>
    <row r="117" spans="1:7" x14ac:dyDescent="0.45">
      <c r="A117" t="s">
        <v>14</v>
      </c>
      <c r="B117" t="s">
        <v>22</v>
      </c>
      <c r="C117" s="6">
        <v>45929</v>
      </c>
      <c r="D117">
        <v>34</v>
      </c>
      <c r="E117">
        <v>10</v>
      </c>
      <c r="F117">
        <v>44</v>
      </c>
      <c r="G117">
        <v>227272.72727272729</v>
      </c>
    </row>
    <row r="118" spans="1:7" x14ac:dyDescent="0.45">
      <c r="A118" t="s">
        <v>14</v>
      </c>
      <c r="B118" t="s">
        <v>22</v>
      </c>
      <c r="C118" s="6">
        <v>45940</v>
      </c>
      <c r="D118">
        <v>86</v>
      </c>
      <c r="E118">
        <v>34</v>
      </c>
      <c r="F118">
        <v>120</v>
      </c>
      <c r="G118">
        <v>283333.33333333331</v>
      </c>
    </row>
    <row r="119" spans="1:7" x14ac:dyDescent="0.45">
      <c r="A119" t="s">
        <v>14</v>
      </c>
      <c r="B119" t="s">
        <v>22</v>
      </c>
      <c r="C119" s="6">
        <v>45946</v>
      </c>
      <c r="D119">
        <v>137</v>
      </c>
      <c r="E119">
        <v>11</v>
      </c>
      <c r="F119">
        <v>148</v>
      </c>
      <c r="G119">
        <v>74324.324324324334</v>
      </c>
    </row>
    <row r="120" spans="1:7" x14ac:dyDescent="0.45">
      <c r="A120" t="s">
        <v>14</v>
      </c>
      <c r="B120" t="s">
        <v>22</v>
      </c>
      <c r="C120" s="6">
        <v>45947</v>
      </c>
      <c r="D120">
        <v>45</v>
      </c>
      <c r="E120">
        <v>31</v>
      </c>
      <c r="F120">
        <v>76</v>
      </c>
      <c r="G120">
        <v>407894.73684210528</v>
      </c>
    </row>
    <row r="121" spans="1:7" x14ac:dyDescent="0.45">
      <c r="A121" t="s">
        <v>14</v>
      </c>
      <c r="B121" t="s">
        <v>22</v>
      </c>
      <c r="C121" s="6">
        <v>45955</v>
      </c>
      <c r="D121">
        <v>69</v>
      </c>
      <c r="E121">
        <v>5</v>
      </c>
      <c r="F121">
        <v>74</v>
      </c>
      <c r="G121">
        <v>67567.567567567574</v>
      </c>
    </row>
    <row r="122" spans="1:7" x14ac:dyDescent="0.45">
      <c r="A122" t="s">
        <v>14</v>
      </c>
      <c r="B122" t="s">
        <v>22</v>
      </c>
      <c r="C122" s="6">
        <v>45957</v>
      </c>
      <c r="D122">
        <v>56</v>
      </c>
      <c r="E122">
        <v>8</v>
      </c>
      <c r="F122">
        <v>64</v>
      </c>
      <c r="G122">
        <v>125000</v>
      </c>
    </row>
    <row r="123" spans="1:7" x14ac:dyDescent="0.45">
      <c r="A123" t="s">
        <v>14</v>
      </c>
      <c r="B123" t="s">
        <v>22</v>
      </c>
      <c r="C123" s="6">
        <v>45972</v>
      </c>
      <c r="D123">
        <v>95</v>
      </c>
      <c r="E123">
        <v>5</v>
      </c>
      <c r="F123">
        <v>100</v>
      </c>
      <c r="G123">
        <v>50000</v>
      </c>
    </row>
    <row r="124" spans="1:7" x14ac:dyDescent="0.45">
      <c r="A124" t="s">
        <v>14</v>
      </c>
      <c r="B124" t="s">
        <v>22</v>
      </c>
      <c r="C124" s="6">
        <v>45975</v>
      </c>
      <c r="D124">
        <v>99</v>
      </c>
      <c r="E124">
        <v>1</v>
      </c>
      <c r="F124">
        <v>100</v>
      </c>
      <c r="G124">
        <v>10000</v>
      </c>
    </row>
    <row r="125" spans="1:7" x14ac:dyDescent="0.45">
      <c r="A125" t="s">
        <v>14</v>
      </c>
      <c r="B125" t="s">
        <v>22</v>
      </c>
      <c r="C125" s="6">
        <v>45986</v>
      </c>
      <c r="D125">
        <v>100</v>
      </c>
      <c r="E125">
        <v>0</v>
      </c>
      <c r="F125">
        <v>100</v>
      </c>
      <c r="G125">
        <v>0</v>
      </c>
    </row>
    <row r="126" spans="1:7" x14ac:dyDescent="0.45">
      <c r="A126" t="s">
        <v>14</v>
      </c>
      <c r="B126" t="s">
        <v>22</v>
      </c>
      <c r="C126" s="6">
        <v>45989</v>
      </c>
      <c r="D126">
        <v>32</v>
      </c>
      <c r="E126">
        <v>0</v>
      </c>
      <c r="F126">
        <v>32</v>
      </c>
      <c r="G126">
        <v>0</v>
      </c>
    </row>
    <row r="127" spans="1:7" x14ac:dyDescent="0.45">
      <c r="A127" t="s">
        <v>14</v>
      </c>
      <c r="B127" t="s">
        <v>22</v>
      </c>
      <c r="C127" s="6">
        <v>45992</v>
      </c>
      <c r="D127">
        <v>22</v>
      </c>
      <c r="E127">
        <v>2</v>
      </c>
      <c r="F127">
        <v>24</v>
      </c>
      <c r="G127">
        <v>83333.333333333328</v>
      </c>
    </row>
    <row r="128" spans="1:7" x14ac:dyDescent="0.45">
      <c r="A128" t="s">
        <v>14</v>
      </c>
      <c r="B128" t="s">
        <v>22</v>
      </c>
      <c r="C128" s="6">
        <v>46000</v>
      </c>
      <c r="D128">
        <v>92</v>
      </c>
      <c r="E128">
        <v>0</v>
      </c>
      <c r="F128">
        <v>92</v>
      </c>
      <c r="G128">
        <v>0</v>
      </c>
    </row>
    <row r="129" spans="1:7" x14ac:dyDescent="0.45">
      <c r="A129" t="s">
        <v>14</v>
      </c>
      <c r="B129" t="s">
        <v>22</v>
      </c>
      <c r="C129" s="6">
        <v>46015</v>
      </c>
      <c r="D129">
        <v>82</v>
      </c>
      <c r="E129">
        <v>2</v>
      </c>
      <c r="F129">
        <v>84</v>
      </c>
      <c r="G129">
        <v>23809.523809523809</v>
      </c>
    </row>
    <row r="130" spans="1:7" x14ac:dyDescent="0.45">
      <c r="A130" t="s">
        <v>14</v>
      </c>
      <c r="B130" t="s">
        <v>23</v>
      </c>
      <c r="C130" s="6">
        <v>45903</v>
      </c>
      <c r="D130">
        <v>88</v>
      </c>
      <c r="E130">
        <v>0</v>
      </c>
      <c r="F130">
        <v>88</v>
      </c>
      <c r="G130">
        <v>0</v>
      </c>
    </row>
    <row r="131" spans="1:7" x14ac:dyDescent="0.45">
      <c r="A131" t="s">
        <v>14</v>
      </c>
      <c r="B131" t="s">
        <v>23</v>
      </c>
      <c r="C131" s="6">
        <v>45929</v>
      </c>
      <c r="D131">
        <v>236</v>
      </c>
      <c r="E131">
        <v>22</v>
      </c>
      <c r="F131">
        <v>258</v>
      </c>
      <c r="G131">
        <v>85271.317829457359</v>
      </c>
    </row>
    <row r="132" spans="1:7" x14ac:dyDescent="0.45">
      <c r="A132" t="s">
        <v>14</v>
      </c>
      <c r="B132" t="s">
        <v>23</v>
      </c>
      <c r="C132" s="6">
        <v>45943</v>
      </c>
      <c r="D132">
        <v>37</v>
      </c>
      <c r="E132">
        <v>3</v>
      </c>
      <c r="F132">
        <v>40</v>
      </c>
      <c r="G132">
        <v>75000</v>
      </c>
    </row>
    <row r="133" spans="1:7" x14ac:dyDescent="0.45">
      <c r="A133" t="s">
        <v>14</v>
      </c>
      <c r="B133" t="s">
        <v>23</v>
      </c>
      <c r="C133" s="6">
        <v>45951</v>
      </c>
      <c r="D133">
        <v>109</v>
      </c>
      <c r="E133">
        <v>11</v>
      </c>
      <c r="F133">
        <v>120</v>
      </c>
      <c r="G133">
        <v>91666.666666666657</v>
      </c>
    </row>
    <row r="134" spans="1:7" x14ac:dyDescent="0.45">
      <c r="A134" t="s">
        <v>14</v>
      </c>
      <c r="B134" t="s">
        <v>23</v>
      </c>
      <c r="C134" s="6">
        <v>45957</v>
      </c>
      <c r="D134">
        <v>82</v>
      </c>
      <c r="E134">
        <v>2</v>
      </c>
      <c r="F134">
        <v>84</v>
      </c>
      <c r="G134">
        <v>23809.523809523809</v>
      </c>
    </row>
    <row r="135" spans="1:7" x14ac:dyDescent="0.45">
      <c r="A135" t="s">
        <v>14</v>
      </c>
      <c r="B135" t="s">
        <v>23</v>
      </c>
      <c r="C135" s="6">
        <v>45973</v>
      </c>
      <c r="D135">
        <v>127</v>
      </c>
      <c r="E135">
        <v>1</v>
      </c>
      <c r="F135">
        <v>128</v>
      </c>
      <c r="G135">
        <v>7812.5</v>
      </c>
    </row>
    <row r="136" spans="1:7" x14ac:dyDescent="0.45">
      <c r="A136" t="s">
        <v>14</v>
      </c>
      <c r="B136" t="s">
        <v>23</v>
      </c>
      <c r="C136" s="6">
        <v>45975</v>
      </c>
      <c r="D136">
        <v>112</v>
      </c>
      <c r="E136">
        <v>4</v>
      </c>
      <c r="F136">
        <v>116</v>
      </c>
      <c r="G136">
        <v>34482.758620689652</v>
      </c>
    </row>
    <row r="137" spans="1:7" x14ac:dyDescent="0.45">
      <c r="A137" t="s">
        <v>14</v>
      </c>
      <c r="B137" t="s">
        <v>23</v>
      </c>
      <c r="C137" s="6">
        <v>46000</v>
      </c>
      <c r="D137">
        <v>68</v>
      </c>
      <c r="E137">
        <v>8</v>
      </c>
      <c r="F137">
        <v>76</v>
      </c>
      <c r="G137">
        <v>105263.1578947368</v>
      </c>
    </row>
    <row r="138" spans="1:7" x14ac:dyDescent="0.45">
      <c r="A138" t="s">
        <v>14</v>
      </c>
      <c r="B138" t="s">
        <v>23</v>
      </c>
      <c r="C138" s="6">
        <v>46006</v>
      </c>
      <c r="D138">
        <v>209</v>
      </c>
      <c r="E138">
        <v>11</v>
      </c>
      <c r="F138">
        <v>220</v>
      </c>
      <c r="G138">
        <v>50000</v>
      </c>
    </row>
    <row r="139" spans="1:7" x14ac:dyDescent="0.45">
      <c r="A139" t="s">
        <v>14</v>
      </c>
      <c r="B139" t="s">
        <v>23</v>
      </c>
      <c r="C139" s="6">
        <v>46013</v>
      </c>
      <c r="D139">
        <v>369</v>
      </c>
      <c r="E139">
        <v>1</v>
      </c>
      <c r="F139">
        <v>370</v>
      </c>
      <c r="G139">
        <v>2702.7027027027029</v>
      </c>
    </row>
    <row r="140" spans="1:7" x14ac:dyDescent="0.45">
      <c r="A140" t="s">
        <v>14</v>
      </c>
      <c r="B140" t="s">
        <v>23</v>
      </c>
      <c r="C140" s="6">
        <v>46014</v>
      </c>
      <c r="D140">
        <v>54</v>
      </c>
      <c r="E140">
        <v>0</v>
      </c>
      <c r="F140">
        <v>54</v>
      </c>
      <c r="G140">
        <v>0</v>
      </c>
    </row>
    <row r="141" spans="1:7" x14ac:dyDescent="0.45">
      <c r="A141" t="s">
        <v>14</v>
      </c>
      <c r="B141" t="s">
        <v>23</v>
      </c>
      <c r="C141" s="6">
        <v>46015</v>
      </c>
      <c r="D141">
        <v>0</v>
      </c>
      <c r="E141">
        <v>2</v>
      </c>
      <c r="F141">
        <v>2</v>
      </c>
      <c r="G141">
        <v>1000000</v>
      </c>
    </row>
    <row r="142" spans="1:7" x14ac:dyDescent="0.45">
      <c r="A142" t="s">
        <v>14</v>
      </c>
      <c r="B142" t="s">
        <v>24</v>
      </c>
      <c r="C142" s="6">
        <v>45909</v>
      </c>
      <c r="D142">
        <v>36</v>
      </c>
      <c r="E142">
        <v>0</v>
      </c>
      <c r="F142">
        <v>36</v>
      </c>
      <c r="G142">
        <v>0</v>
      </c>
    </row>
    <row r="143" spans="1:7" x14ac:dyDescent="0.45">
      <c r="A143" t="s">
        <v>14</v>
      </c>
      <c r="B143" t="s">
        <v>24</v>
      </c>
      <c r="C143" s="6">
        <v>45912</v>
      </c>
      <c r="D143">
        <v>85</v>
      </c>
      <c r="E143">
        <v>11</v>
      </c>
      <c r="F143">
        <v>96</v>
      </c>
      <c r="G143">
        <v>114583.3333333333</v>
      </c>
    </row>
    <row r="144" spans="1:7" x14ac:dyDescent="0.45">
      <c r="A144" t="s">
        <v>14</v>
      </c>
      <c r="B144" t="s">
        <v>24</v>
      </c>
      <c r="C144" s="6">
        <v>45919</v>
      </c>
      <c r="D144">
        <v>318</v>
      </c>
      <c r="E144">
        <v>0</v>
      </c>
      <c r="F144">
        <v>318</v>
      </c>
      <c r="G144">
        <v>0</v>
      </c>
    </row>
    <row r="145" spans="1:7" x14ac:dyDescent="0.45">
      <c r="A145" t="s">
        <v>14</v>
      </c>
      <c r="B145" t="s">
        <v>24</v>
      </c>
      <c r="C145" s="6">
        <v>45922</v>
      </c>
      <c r="D145">
        <v>327</v>
      </c>
      <c r="E145">
        <v>25</v>
      </c>
      <c r="F145">
        <v>352</v>
      </c>
      <c r="G145">
        <v>71022.727272727279</v>
      </c>
    </row>
    <row r="146" spans="1:7" x14ac:dyDescent="0.45">
      <c r="A146" t="s">
        <v>14</v>
      </c>
      <c r="B146" t="s">
        <v>24</v>
      </c>
      <c r="C146" s="6">
        <v>45929</v>
      </c>
      <c r="D146">
        <v>335</v>
      </c>
      <c r="E146">
        <v>25</v>
      </c>
      <c r="F146">
        <v>360</v>
      </c>
      <c r="G146">
        <v>69444.444444444453</v>
      </c>
    </row>
    <row r="147" spans="1:7" x14ac:dyDescent="0.45">
      <c r="A147" t="s">
        <v>14</v>
      </c>
      <c r="B147" t="s">
        <v>24</v>
      </c>
      <c r="C147" s="6">
        <v>45940</v>
      </c>
      <c r="D147">
        <v>69</v>
      </c>
      <c r="E147">
        <v>5</v>
      </c>
      <c r="F147">
        <v>74</v>
      </c>
      <c r="G147">
        <v>67567.567567567574</v>
      </c>
    </row>
    <row r="148" spans="1:7" x14ac:dyDescent="0.45">
      <c r="A148" t="s">
        <v>14</v>
      </c>
      <c r="B148" t="s">
        <v>24</v>
      </c>
      <c r="C148" s="6">
        <v>45943</v>
      </c>
      <c r="D148">
        <v>595</v>
      </c>
      <c r="E148">
        <v>37</v>
      </c>
      <c r="F148">
        <v>632</v>
      </c>
      <c r="G148">
        <v>58544.303797468347</v>
      </c>
    </row>
    <row r="149" spans="1:7" x14ac:dyDescent="0.45">
      <c r="A149" t="s">
        <v>14</v>
      </c>
      <c r="B149" t="s">
        <v>24</v>
      </c>
      <c r="C149" s="6">
        <v>45944</v>
      </c>
      <c r="D149">
        <v>716</v>
      </c>
      <c r="E149">
        <v>28</v>
      </c>
      <c r="F149">
        <v>744</v>
      </c>
      <c r="G149">
        <v>37634.408602150543</v>
      </c>
    </row>
    <row r="150" spans="1:7" x14ac:dyDescent="0.45">
      <c r="A150" t="s">
        <v>14</v>
      </c>
      <c r="B150" t="s">
        <v>24</v>
      </c>
      <c r="C150" s="6">
        <v>45945</v>
      </c>
      <c r="D150">
        <v>454</v>
      </c>
      <c r="E150">
        <v>46</v>
      </c>
      <c r="F150">
        <v>500</v>
      </c>
      <c r="G150">
        <v>92000</v>
      </c>
    </row>
    <row r="151" spans="1:7" x14ac:dyDescent="0.45">
      <c r="A151" t="s">
        <v>14</v>
      </c>
      <c r="B151" t="s">
        <v>24</v>
      </c>
      <c r="C151" s="6">
        <v>45946</v>
      </c>
      <c r="D151">
        <v>375</v>
      </c>
      <c r="E151">
        <v>17</v>
      </c>
      <c r="F151">
        <v>392</v>
      </c>
      <c r="G151">
        <v>43367.34693877551</v>
      </c>
    </row>
    <row r="152" spans="1:7" x14ac:dyDescent="0.45">
      <c r="A152" t="s">
        <v>14</v>
      </c>
      <c r="B152" t="s">
        <v>24</v>
      </c>
      <c r="C152" s="6">
        <v>45947</v>
      </c>
      <c r="D152">
        <v>179</v>
      </c>
      <c r="E152">
        <v>27</v>
      </c>
      <c r="F152">
        <v>206</v>
      </c>
      <c r="G152">
        <v>131067.9611650485</v>
      </c>
    </row>
    <row r="153" spans="1:7" x14ac:dyDescent="0.45">
      <c r="A153" t="s">
        <v>14</v>
      </c>
      <c r="B153" t="s">
        <v>24</v>
      </c>
      <c r="C153" s="6">
        <v>45950</v>
      </c>
      <c r="D153">
        <v>137</v>
      </c>
      <c r="E153">
        <v>13</v>
      </c>
      <c r="F153">
        <v>150</v>
      </c>
      <c r="G153">
        <v>86666.666666666672</v>
      </c>
    </row>
    <row r="154" spans="1:7" x14ac:dyDescent="0.45">
      <c r="A154" t="s">
        <v>14</v>
      </c>
      <c r="B154" t="s">
        <v>24</v>
      </c>
      <c r="C154" s="6">
        <v>45953</v>
      </c>
      <c r="D154">
        <v>84</v>
      </c>
      <c r="E154">
        <v>8</v>
      </c>
      <c r="F154">
        <v>92</v>
      </c>
      <c r="G154">
        <v>86956.521739130432</v>
      </c>
    </row>
    <row r="155" spans="1:7" x14ac:dyDescent="0.45">
      <c r="A155" t="s">
        <v>14</v>
      </c>
      <c r="B155" t="s">
        <v>24</v>
      </c>
      <c r="C155" s="6">
        <v>45955</v>
      </c>
      <c r="D155">
        <v>474</v>
      </c>
      <c r="E155">
        <v>36</v>
      </c>
      <c r="F155">
        <v>510</v>
      </c>
      <c r="G155">
        <v>70588.23529411765</v>
      </c>
    </row>
    <row r="156" spans="1:7" x14ac:dyDescent="0.45">
      <c r="A156" t="s">
        <v>14</v>
      </c>
      <c r="B156" t="s">
        <v>24</v>
      </c>
      <c r="C156" s="6">
        <v>45957</v>
      </c>
      <c r="D156">
        <v>444</v>
      </c>
      <c r="E156">
        <v>6</v>
      </c>
      <c r="F156">
        <v>450</v>
      </c>
      <c r="G156">
        <v>13333.33333333333</v>
      </c>
    </row>
    <row r="157" spans="1:7" x14ac:dyDescent="0.45">
      <c r="A157" t="s">
        <v>14</v>
      </c>
      <c r="B157" t="s">
        <v>24</v>
      </c>
      <c r="C157" s="6">
        <v>45958</v>
      </c>
      <c r="D157">
        <v>183</v>
      </c>
      <c r="E157">
        <v>1</v>
      </c>
      <c r="F157">
        <v>184</v>
      </c>
      <c r="G157">
        <v>5434.782608695652</v>
      </c>
    </row>
    <row r="158" spans="1:7" x14ac:dyDescent="0.45">
      <c r="A158" t="s">
        <v>14</v>
      </c>
      <c r="B158" t="s">
        <v>24</v>
      </c>
      <c r="C158" s="6">
        <v>45959</v>
      </c>
      <c r="D158">
        <v>1268</v>
      </c>
      <c r="E158">
        <v>26</v>
      </c>
      <c r="F158">
        <v>1294</v>
      </c>
      <c r="G158">
        <v>20092.735703245751</v>
      </c>
    </row>
    <row r="159" spans="1:7" x14ac:dyDescent="0.45">
      <c r="A159" t="s">
        <v>14</v>
      </c>
      <c r="B159" t="s">
        <v>24</v>
      </c>
      <c r="C159" s="6">
        <v>45960</v>
      </c>
      <c r="D159">
        <v>294</v>
      </c>
      <c r="E159">
        <v>6</v>
      </c>
      <c r="F159">
        <v>300</v>
      </c>
      <c r="G159">
        <v>20000</v>
      </c>
    </row>
    <row r="160" spans="1:7" x14ac:dyDescent="0.45">
      <c r="A160" t="s">
        <v>14</v>
      </c>
      <c r="B160" t="s">
        <v>24</v>
      </c>
      <c r="C160" s="6">
        <v>45965</v>
      </c>
      <c r="D160">
        <v>817</v>
      </c>
      <c r="E160">
        <v>15</v>
      </c>
      <c r="F160">
        <v>832</v>
      </c>
      <c r="G160">
        <v>18028.846153846149</v>
      </c>
    </row>
    <row r="161" spans="1:7" x14ac:dyDescent="0.45">
      <c r="A161" t="s">
        <v>14</v>
      </c>
      <c r="B161" t="s">
        <v>24</v>
      </c>
      <c r="C161" s="6">
        <v>45979</v>
      </c>
      <c r="D161">
        <v>342</v>
      </c>
      <c r="E161">
        <v>8</v>
      </c>
      <c r="F161">
        <v>350</v>
      </c>
      <c r="G161">
        <v>22857.142857142859</v>
      </c>
    </row>
    <row r="162" spans="1:7" x14ac:dyDescent="0.45">
      <c r="A162" t="s">
        <v>14</v>
      </c>
      <c r="B162" t="s">
        <v>24</v>
      </c>
      <c r="C162" s="6">
        <v>45981</v>
      </c>
      <c r="D162">
        <v>79</v>
      </c>
      <c r="E162">
        <v>1</v>
      </c>
      <c r="F162">
        <v>80</v>
      </c>
      <c r="G162">
        <v>12500</v>
      </c>
    </row>
    <row r="163" spans="1:7" x14ac:dyDescent="0.45">
      <c r="A163" t="s">
        <v>14</v>
      </c>
      <c r="B163" t="s">
        <v>24</v>
      </c>
      <c r="C163" s="6">
        <v>45982</v>
      </c>
      <c r="D163">
        <v>23</v>
      </c>
      <c r="E163">
        <v>1</v>
      </c>
      <c r="F163">
        <v>24</v>
      </c>
      <c r="G163">
        <v>41666.666666666657</v>
      </c>
    </row>
    <row r="164" spans="1:7" x14ac:dyDescent="0.45">
      <c r="A164" t="s">
        <v>14</v>
      </c>
      <c r="B164" t="s">
        <v>24</v>
      </c>
      <c r="C164" s="6">
        <v>45988</v>
      </c>
      <c r="D164">
        <v>274</v>
      </c>
      <c r="E164">
        <v>2</v>
      </c>
      <c r="F164">
        <v>276</v>
      </c>
      <c r="G164">
        <v>7246.376811594203</v>
      </c>
    </row>
    <row r="165" spans="1:7" x14ac:dyDescent="0.45">
      <c r="A165" t="s">
        <v>14</v>
      </c>
      <c r="B165" t="s">
        <v>24</v>
      </c>
      <c r="C165" s="6">
        <v>45989</v>
      </c>
      <c r="D165">
        <v>175</v>
      </c>
      <c r="E165">
        <v>5</v>
      </c>
      <c r="F165">
        <v>180</v>
      </c>
      <c r="G165">
        <v>27777.777777777781</v>
      </c>
    </row>
    <row r="166" spans="1:7" x14ac:dyDescent="0.45">
      <c r="A166" t="s">
        <v>14</v>
      </c>
      <c r="B166" t="s">
        <v>24</v>
      </c>
      <c r="C166" s="6">
        <v>45992</v>
      </c>
      <c r="D166">
        <v>290</v>
      </c>
      <c r="E166">
        <v>24</v>
      </c>
      <c r="F166">
        <v>314</v>
      </c>
      <c r="G166">
        <v>76433.121019108279</v>
      </c>
    </row>
    <row r="167" spans="1:7" x14ac:dyDescent="0.45">
      <c r="A167" t="s">
        <v>14</v>
      </c>
      <c r="B167" t="s">
        <v>24</v>
      </c>
      <c r="C167" s="6">
        <v>45995</v>
      </c>
      <c r="D167">
        <v>439</v>
      </c>
      <c r="E167">
        <v>29</v>
      </c>
      <c r="F167">
        <v>468</v>
      </c>
      <c r="G167">
        <v>61965.811965811969</v>
      </c>
    </row>
    <row r="168" spans="1:7" x14ac:dyDescent="0.45">
      <c r="A168" t="s">
        <v>14</v>
      </c>
      <c r="B168" t="s">
        <v>24</v>
      </c>
      <c r="C168" s="6">
        <v>45996</v>
      </c>
      <c r="D168">
        <v>85</v>
      </c>
      <c r="E168">
        <v>21</v>
      </c>
      <c r="F168">
        <v>106</v>
      </c>
      <c r="G168">
        <v>198113.20754716979</v>
      </c>
    </row>
    <row r="169" spans="1:7" x14ac:dyDescent="0.45">
      <c r="A169" t="s">
        <v>14</v>
      </c>
      <c r="B169" t="s">
        <v>24</v>
      </c>
      <c r="C169" s="6">
        <v>45999</v>
      </c>
      <c r="D169">
        <v>206</v>
      </c>
      <c r="E169">
        <v>40</v>
      </c>
      <c r="F169">
        <v>246</v>
      </c>
      <c r="G169">
        <v>162601.62601626021</v>
      </c>
    </row>
    <row r="170" spans="1:7" x14ac:dyDescent="0.45">
      <c r="A170" t="s">
        <v>14</v>
      </c>
      <c r="B170" t="s">
        <v>24</v>
      </c>
      <c r="C170" s="6">
        <v>46002</v>
      </c>
      <c r="D170">
        <v>516</v>
      </c>
      <c r="E170">
        <v>12</v>
      </c>
      <c r="F170">
        <v>528</v>
      </c>
      <c r="G170">
        <v>22727.272727272732</v>
      </c>
    </row>
    <row r="171" spans="1:7" x14ac:dyDescent="0.45">
      <c r="A171" t="s">
        <v>14</v>
      </c>
      <c r="B171" t="s">
        <v>24</v>
      </c>
      <c r="C171" s="6">
        <v>46003</v>
      </c>
      <c r="D171">
        <v>370</v>
      </c>
      <c r="E171">
        <v>2</v>
      </c>
      <c r="F171">
        <v>372</v>
      </c>
      <c r="G171">
        <v>5376.344086021506</v>
      </c>
    </row>
    <row r="172" spans="1:7" x14ac:dyDescent="0.45">
      <c r="A172" t="s">
        <v>14</v>
      </c>
      <c r="B172" t="s">
        <v>24</v>
      </c>
      <c r="C172" s="6">
        <v>46006</v>
      </c>
      <c r="D172">
        <v>336</v>
      </c>
      <c r="E172">
        <v>4</v>
      </c>
      <c r="F172">
        <v>340</v>
      </c>
      <c r="G172">
        <v>11764.705882352941</v>
      </c>
    </row>
    <row r="173" spans="1:7" x14ac:dyDescent="0.45">
      <c r="A173" t="s">
        <v>14</v>
      </c>
      <c r="B173" t="s">
        <v>24</v>
      </c>
      <c r="C173" s="6">
        <v>46008</v>
      </c>
      <c r="D173">
        <v>283</v>
      </c>
      <c r="E173">
        <v>9</v>
      </c>
      <c r="F173">
        <v>292</v>
      </c>
      <c r="G173">
        <v>30821.917808219179</v>
      </c>
    </row>
    <row r="174" spans="1:7" x14ac:dyDescent="0.45">
      <c r="A174" t="s">
        <v>14</v>
      </c>
      <c r="B174" t="s">
        <v>24</v>
      </c>
      <c r="C174" s="6">
        <v>46010</v>
      </c>
      <c r="D174">
        <v>442</v>
      </c>
      <c r="E174">
        <v>6</v>
      </c>
      <c r="F174">
        <v>448</v>
      </c>
      <c r="G174">
        <v>13392.857142857139</v>
      </c>
    </row>
    <row r="175" spans="1:7" x14ac:dyDescent="0.45">
      <c r="A175" t="s">
        <v>14</v>
      </c>
      <c r="B175" t="s">
        <v>24</v>
      </c>
      <c r="C175" s="6">
        <v>46014</v>
      </c>
      <c r="D175">
        <v>174</v>
      </c>
      <c r="E175">
        <v>6</v>
      </c>
      <c r="F175">
        <v>180</v>
      </c>
      <c r="G175">
        <v>33333.333333333343</v>
      </c>
    </row>
    <row r="176" spans="1:7" x14ac:dyDescent="0.45">
      <c r="A176" t="s">
        <v>14</v>
      </c>
      <c r="B176" t="s">
        <v>25</v>
      </c>
      <c r="C176" s="6">
        <v>45945</v>
      </c>
      <c r="D176">
        <v>394</v>
      </c>
      <c r="E176">
        <v>6</v>
      </c>
      <c r="F176">
        <v>400</v>
      </c>
      <c r="G176">
        <v>15000</v>
      </c>
    </row>
    <row r="177" spans="1:7" x14ac:dyDescent="0.45">
      <c r="A177" t="s">
        <v>14</v>
      </c>
      <c r="B177" t="s">
        <v>25</v>
      </c>
      <c r="C177" s="6">
        <v>45958</v>
      </c>
      <c r="D177">
        <v>372</v>
      </c>
      <c r="E177">
        <v>32</v>
      </c>
      <c r="F177">
        <v>404</v>
      </c>
      <c r="G177">
        <v>79207.920792079211</v>
      </c>
    </row>
    <row r="178" spans="1:7" x14ac:dyDescent="0.45">
      <c r="A178" t="s">
        <v>14</v>
      </c>
      <c r="B178" t="s">
        <v>25</v>
      </c>
      <c r="C178" s="6">
        <v>45994</v>
      </c>
      <c r="D178">
        <v>657</v>
      </c>
      <c r="E178">
        <v>3</v>
      </c>
      <c r="F178">
        <v>660</v>
      </c>
      <c r="G178">
        <v>4545.454545454545</v>
      </c>
    </row>
    <row r="179" spans="1:7" x14ac:dyDescent="0.45">
      <c r="A179" t="s">
        <v>14</v>
      </c>
      <c r="B179" t="s">
        <v>26</v>
      </c>
      <c r="C179" s="6">
        <v>45982</v>
      </c>
      <c r="D179">
        <v>121</v>
      </c>
      <c r="E179">
        <v>23</v>
      </c>
      <c r="F179">
        <v>144</v>
      </c>
      <c r="G179">
        <v>159722.22222222219</v>
      </c>
    </row>
    <row r="180" spans="1:7" x14ac:dyDescent="0.45">
      <c r="A180" t="s">
        <v>14</v>
      </c>
      <c r="B180" t="s">
        <v>26</v>
      </c>
      <c r="C180" s="6">
        <v>45985</v>
      </c>
      <c r="D180">
        <v>33</v>
      </c>
      <c r="E180">
        <v>3</v>
      </c>
      <c r="F180">
        <v>36</v>
      </c>
      <c r="G180">
        <v>83333.333333333328</v>
      </c>
    </row>
    <row r="181" spans="1:7" x14ac:dyDescent="0.45">
      <c r="A181" t="s">
        <v>14</v>
      </c>
      <c r="B181" t="s">
        <v>26</v>
      </c>
      <c r="C181" s="6">
        <v>46008</v>
      </c>
      <c r="D181">
        <v>175</v>
      </c>
      <c r="E181">
        <v>9</v>
      </c>
      <c r="F181">
        <v>184</v>
      </c>
      <c r="G181">
        <v>48913.043478260872</v>
      </c>
    </row>
    <row r="182" spans="1:7" x14ac:dyDescent="0.45">
      <c r="A182" t="s">
        <v>14</v>
      </c>
      <c r="B182" t="s">
        <v>26</v>
      </c>
      <c r="C182" s="6">
        <v>46015</v>
      </c>
      <c r="D182">
        <v>298</v>
      </c>
      <c r="E182">
        <v>0</v>
      </c>
      <c r="F182">
        <v>298</v>
      </c>
      <c r="G182">
        <v>0</v>
      </c>
    </row>
    <row r="183" spans="1:7" x14ac:dyDescent="0.45">
      <c r="A183" t="s">
        <v>14</v>
      </c>
      <c r="B183" t="s">
        <v>27</v>
      </c>
      <c r="C183" s="6">
        <v>45985</v>
      </c>
      <c r="D183">
        <v>10</v>
      </c>
      <c r="E183">
        <v>0</v>
      </c>
      <c r="F183">
        <v>10</v>
      </c>
      <c r="G183">
        <v>0</v>
      </c>
    </row>
    <row r="184" spans="1:7" x14ac:dyDescent="0.45">
      <c r="A184" t="s">
        <v>14</v>
      </c>
      <c r="B184" t="s">
        <v>28</v>
      </c>
      <c r="C184" s="6">
        <v>45985</v>
      </c>
      <c r="D184">
        <v>150</v>
      </c>
      <c r="E184">
        <v>6</v>
      </c>
      <c r="F184">
        <v>156</v>
      </c>
      <c r="G184">
        <v>38461.538461538461</v>
      </c>
    </row>
    <row r="185" spans="1:7" x14ac:dyDescent="0.45">
      <c r="A185" t="s">
        <v>14</v>
      </c>
      <c r="B185" t="s">
        <v>28</v>
      </c>
      <c r="C185" s="6">
        <v>45986</v>
      </c>
      <c r="D185">
        <v>216</v>
      </c>
      <c r="E185">
        <v>2</v>
      </c>
      <c r="F185">
        <v>218</v>
      </c>
      <c r="G185">
        <v>9174.3119266055055</v>
      </c>
    </row>
    <row r="186" spans="1:7" x14ac:dyDescent="0.45">
      <c r="A186" t="s">
        <v>14</v>
      </c>
      <c r="B186" t="s">
        <v>29</v>
      </c>
      <c r="C186" s="6">
        <v>45982</v>
      </c>
      <c r="D186">
        <v>189</v>
      </c>
      <c r="E186">
        <v>9</v>
      </c>
      <c r="F186">
        <v>198</v>
      </c>
      <c r="G186">
        <v>45454.545454545463</v>
      </c>
    </row>
    <row r="187" spans="1:7" x14ac:dyDescent="0.45">
      <c r="A187" t="s">
        <v>14</v>
      </c>
      <c r="B187" t="s">
        <v>30</v>
      </c>
      <c r="C187" s="6">
        <v>45985</v>
      </c>
      <c r="D187">
        <v>9</v>
      </c>
      <c r="E187">
        <v>7</v>
      </c>
      <c r="F187">
        <v>16</v>
      </c>
      <c r="G187">
        <v>437500</v>
      </c>
    </row>
    <row r="188" spans="1:7" x14ac:dyDescent="0.45">
      <c r="A188" t="s">
        <v>14</v>
      </c>
      <c r="B188" t="s">
        <v>31</v>
      </c>
      <c r="C188" s="6">
        <v>45944</v>
      </c>
      <c r="D188">
        <v>2</v>
      </c>
      <c r="E188">
        <v>0</v>
      </c>
      <c r="F188">
        <v>2</v>
      </c>
      <c r="G188">
        <v>0</v>
      </c>
    </row>
    <row r="189" spans="1:7" x14ac:dyDescent="0.45">
      <c r="A189" t="s">
        <v>14</v>
      </c>
      <c r="B189" t="s">
        <v>31</v>
      </c>
      <c r="C189" s="6">
        <v>45985</v>
      </c>
      <c r="D189">
        <v>2</v>
      </c>
      <c r="E189">
        <v>0</v>
      </c>
      <c r="F189">
        <v>2</v>
      </c>
      <c r="G189">
        <v>0</v>
      </c>
    </row>
    <row r="190" spans="1:7" x14ac:dyDescent="0.45">
      <c r="A190" t="s">
        <v>14</v>
      </c>
      <c r="B190" t="s">
        <v>32</v>
      </c>
      <c r="C190" s="6">
        <v>45985</v>
      </c>
      <c r="D190">
        <v>12</v>
      </c>
      <c r="E190">
        <v>14</v>
      </c>
      <c r="F190">
        <v>26</v>
      </c>
      <c r="G190">
        <v>538461.53846153838</v>
      </c>
    </row>
    <row r="191" spans="1:7" x14ac:dyDescent="0.45">
      <c r="A191" t="s">
        <v>14</v>
      </c>
      <c r="B191" t="s">
        <v>33</v>
      </c>
      <c r="C191" s="6">
        <v>46000</v>
      </c>
      <c r="D191">
        <v>2</v>
      </c>
      <c r="E191">
        <v>0</v>
      </c>
      <c r="F191">
        <v>2</v>
      </c>
      <c r="G191">
        <v>0</v>
      </c>
    </row>
    <row r="192" spans="1:7" x14ac:dyDescent="0.45">
      <c r="A192" t="s">
        <v>14</v>
      </c>
      <c r="B192" t="s">
        <v>34</v>
      </c>
      <c r="C192" s="6">
        <v>46000</v>
      </c>
      <c r="D192">
        <v>14</v>
      </c>
      <c r="E192">
        <v>0</v>
      </c>
      <c r="F192">
        <v>14</v>
      </c>
      <c r="G192">
        <v>0</v>
      </c>
    </row>
    <row r="193" spans="1:7" x14ac:dyDescent="0.45">
      <c r="A193" t="s">
        <v>14</v>
      </c>
      <c r="B193" t="s">
        <v>34</v>
      </c>
      <c r="C193" s="6">
        <v>46001</v>
      </c>
      <c r="D193">
        <v>8</v>
      </c>
      <c r="E193">
        <v>2</v>
      </c>
      <c r="F193">
        <v>10</v>
      </c>
      <c r="G193">
        <v>200000</v>
      </c>
    </row>
    <row r="194" spans="1:7" x14ac:dyDescent="0.45">
      <c r="A194" t="s">
        <v>14</v>
      </c>
      <c r="B194" t="s">
        <v>35</v>
      </c>
      <c r="C194" s="6">
        <v>45904</v>
      </c>
      <c r="D194">
        <v>99</v>
      </c>
      <c r="E194">
        <v>1</v>
      </c>
      <c r="F194">
        <v>100</v>
      </c>
      <c r="G194">
        <v>10000</v>
      </c>
    </row>
    <row r="195" spans="1:7" x14ac:dyDescent="0.45">
      <c r="A195" t="s">
        <v>14</v>
      </c>
      <c r="B195" t="s">
        <v>35</v>
      </c>
      <c r="C195" s="6">
        <v>45905</v>
      </c>
      <c r="D195">
        <v>217</v>
      </c>
      <c r="E195">
        <v>15</v>
      </c>
      <c r="F195">
        <v>232</v>
      </c>
      <c r="G195">
        <v>64655.172413793109</v>
      </c>
    </row>
    <row r="196" spans="1:7" x14ac:dyDescent="0.45">
      <c r="A196" t="s">
        <v>14</v>
      </c>
      <c r="B196" t="s">
        <v>35</v>
      </c>
      <c r="C196" s="6">
        <v>45908</v>
      </c>
      <c r="D196">
        <v>246</v>
      </c>
      <c r="E196">
        <v>4</v>
      </c>
      <c r="F196">
        <v>250</v>
      </c>
      <c r="G196">
        <v>16000</v>
      </c>
    </row>
    <row r="197" spans="1:7" x14ac:dyDescent="0.45">
      <c r="A197" t="s">
        <v>14</v>
      </c>
      <c r="B197" t="s">
        <v>35</v>
      </c>
      <c r="C197" s="6">
        <v>45911</v>
      </c>
      <c r="D197">
        <v>92</v>
      </c>
      <c r="E197">
        <v>2</v>
      </c>
      <c r="F197">
        <v>94</v>
      </c>
      <c r="G197">
        <v>21276.59574468085</v>
      </c>
    </row>
    <row r="198" spans="1:7" x14ac:dyDescent="0.45">
      <c r="A198" t="s">
        <v>14</v>
      </c>
      <c r="B198" t="s">
        <v>35</v>
      </c>
      <c r="C198" s="6">
        <v>45925</v>
      </c>
      <c r="D198">
        <v>63</v>
      </c>
      <c r="E198">
        <v>1</v>
      </c>
      <c r="F198">
        <v>64</v>
      </c>
      <c r="G198">
        <v>15625</v>
      </c>
    </row>
    <row r="199" spans="1:7" x14ac:dyDescent="0.45">
      <c r="A199" t="s">
        <v>14</v>
      </c>
      <c r="B199" t="s">
        <v>35</v>
      </c>
      <c r="C199" s="6">
        <v>45952</v>
      </c>
      <c r="D199">
        <v>6</v>
      </c>
      <c r="E199">
        <v>2</v>
      </c>
      <c r="F199">
        <v>8</v>
      </c>
      <c r="G199">
        <v>250000</v>
      </c>
    </row>
    <row r="200" spans="1:7" x14ac:dyDescent="0.45">
      <c r="A200" t="s">
        <v>14</v>
      </c>
      <c r="B200" t="s">
        <v>35</v>
      </c>
      <c r="C200" s="6">
        <v>45958</v>
      </c>
      <c r="D200">
        <v>530</v>
      </c>
      <c r="E200">
        <v>80</v>
      </c>
      <c r="F200">
        <v>610</v>
      </c>
      <c r="G200">
        <v>131147.5409836066</v>
      </c>
    </row>
    <row r="201" spans="1:7" x14ac:dyDescent="0.45">
      <c r="A201" t="s">
        <v>14</v>
      </c>
      <c r="B201" t="s">
        <v>35</v>
      </c>
      <c r="C201" s="6">
        <v>45959</v>
      </c>
      <c r="D201">
        <v>319</v>
      </c>
      <c r="E201">
        <v>33</v>
      </c>
      <c r="F201">
        <v>352</v>
      </c>
      <c r="G201">
        <v>93750</v>
      </c>
    </row>
    <row r="202" spans="1:7" x14ac:dyDescent="0.45">
      <c r="A202" t="s">
        <v>14</v>
      </c>
      <c r="B202" t="s">
        <v>35</v>
      </c>
      <c r="C202" s="6">
        <v>45960</v>
      </c>
      <c r="D202">
        <v>316</v>
      </c>
      <c r="E202">
        <v>10</v>
      </c>
      <c r="F202">
        <v>326</v>
      </c>
      <c r="G202">
        <v>30674.84662576687</v>
      </c>
    </row>
    <row r="203" spans="1:7" x14ac:dyDescent="0.45">
      <c r="A203" t="s">
        <v>14</v>
      </c>
      <c r="B203" t="s">
        <v>35</v>
      </c>
      <c r="C203" s="6">
        <v>45971</v>
      </c>
      <c r="D203">
        <v>1192</v>
      </c>
      <c r="E203">
        <v>58</v>
      </c>
      <c r="F203">
        <v>1250</v>
      </c>
      <c r="G203">
        <v>46400</v>
      </c>
    </row>
    <row r="204" spans="1:7" x14ac:dyDescent="0.45">
      <c r="A204" t="s">
        <v>14</v>
      </c>
      <c r="B204" t="s">
        <v>35</v>
      </c>
      <c r="C204" s="6">
        <v>45972</v>
      </c>
      <c r="D204">
        <v>234</v>
      </c>
      <c r="E204">
        <v>20</v>
      </c>
      <c r="F204">
        <v>254</v>
      </c>
      <c r="G204">
        <v>78740.157480314956</v>
      </c>
    </row>
    <row r="205" spans="1:7" x14ac:dyDescent="0.45">
      <c r="A205" t="s">
        <v>14</v>
      </c>
      <c r="B205" t="s">
        <v>35</v>
      </c>
      <c r="C205" s="6">
        <v>45973</v>
      </c>
      <c r="D205">
        <v>212</v>
      </c>
      <c r="E205">
        <v>12</v>
      </c>
      <c r="F205">
        <v>224</v>
      </c>
      <c r="G205">
        <v>53571.428571428572</v>
      </c>
    </row>
    <row r="206" spans="1:7" x14ac:dyDescent="0.45">
      <c r="A206" t="s">
        <v>14</v>
      </c>
      <c r="B206" t="s">
        <v>35</v>
      </c>
      <c r="C206" s="6">
        <v>45995</v>
      </c>
      <c r="D206">
        <v>458</v>
      </c>
      <c r="E206">
        <v>4</v>
      </c>
      <c r="F206">
        <v>462</v>
      </c>
      <c r="G206">
        <v>8658.0086580086572</v>
      </c>
    </row>
    <row r="207" spans="1:7" x14ac:dyDescent="0.45">
      <c r="A207" t="s">
        <v>14</v>
      </c>
      <c r="B207" t="s">
        <v>35</v>
      </c>
      <c r="C207" s="6">
        <v>45996</v>
      </c>
      <c r="D207">
        <v>607</v>
      </c>
      <c r="E207">
        <v>9</v>
      </c>
      <c r="F207">
        <v>616</v>
      </c>
      <c r="G207">
        <v>14610.38961038961</v>
      </c>
    </row>
    <row r="208" spans="1:7" x14ac:dyDescent="0.45">
      <c r="A208" t="s">
        <v>14</v>
      </c>
      <c r="B208" t="s">
        <v>35</v>
      </c>
      <c r="C208" s="6">
        <v>45999</v>
      </c>
      <c r="D208">
        <v>238</v>
      </c>
      <c r="E208">
        <v>26</v>
      </c>
      <c r="F208">
        <v>264</v>
      </c>
      <c r="G208">
        <v>98484.84848484848</v>
      </c>
    </row>
    <row r="209" spans="1:7" x14ac:dyDescent="0.45">
      <c r="A209" t="s">
        <v>14</v>
      </c>
      <c r="B209" t="s">
        <v>35</v>
      </c>
      <c r="C209" s="6">
        <v>46013</v>
      </c>
      <c r="D209">
        <v>19</v>
      </c>
      <c r="E209">
        <v>1</v>
      </c>
      <c r="F209">
        <v>20</v>
      </c>
      <c r="G209">
        <v>50000</v>
      </c>
    </row>
    <row r="210" spans="1:7" x14ac:dyDescent="0.45">
      <c r="A210" t="s">
        <v>14</v>
      </c>
      <c r="B210" t="s">
        <v>36</v>
      </c>
      <c r="C210" s="6">
        <v>45940</v>
      </c>
      <c r="D210">
        <v>9</v>
      </c>
      <c r="E210">
        <v>1</v>
      </c>
      <c r="F210">
        <v>10</v>
      </c>
      <c r="G210">
        <v>100000</v>
      </c>
    </row>
    <row r="211" spans="1:7" x14ac:dyDescent="0.45">
      <c r="A211" t="s">
        <v>14</v>
      </c>
      <c r="B211" t="s">
        <v>36</v>
      </c>
      <c r="C211" s="6">
        <v>45953</v>
      </c>
      <c r="D211">
        <v>4</v>
      </c>
      <c r="E211">
        <v>0</v>
      </c>
      <c r="F211">
        <v>4</v>
      </c>
      <c r="G211">
        <v>0</v>
      </c>
    </row>
    <row r="212" spans="1:7" x14ac:dyDescent="0.45">
      <c r="A212" t="s">
        <v>14</v>
      </c>
      <c r="B212" t="s">
        <v>36</v>
      </c>
      <c r="C212" s="6">
        <v>45972</v>
      </c>
      <c r="D212">
        <v>15</v>
      </c>
      <c r="E212">
        <v>3</v>
      </c>
      <c r="F212">
        <v>18</v>
      </c>
      <c r="G212">
        <v>166666.66666666669</v>
      </c>
    </row>
    <row r="213" spans="1:7" x14ac:dyDescent="0.45">
      <c r="A213" t="s">
        <v>14</v>
      </c>
      <c r="B213" t="s">
        <v>37</v>
      </c>
      <c r="C213" s="6">
        <v>46007</v>
      </c>
      <c r="D213">
        <v>2</v>
      </c>
      <c r="E213">
        <v>0</v>
      </c>
      <c r="F213">
        <v>2</v>
      </c>
      <c r="G213">
        <v>0</v>
      </c>
    </row>
    <row r="214" spans="1:7" x14ac:dyDescent="0.45">
      <c r="A214" t="s">
        <v>14</v>
      </c>
      <c r="B214" t="s">
        <v>38</v>
      </c>
      <c r="C214" s="6">
        <v>45917</v>
      </c>
      <c r="D214">
        <v>2</v>
      </c>
      <c r="E214">
        <v>0</v>
      </c>
      <c r="F214">
        <v>2</v>
      </c>
      <c r="G214">
        <v>0</v>
      </c>
    </row>
    <row r="215" spans="1:7" x14ac:dyDescent="0.45">
      <c r="A215" t="s">
        <v>15</v>
      </c>
      <c r="B215" t="s">
        <v>39</v>
      </c>
      <c r="C215" s="6">
        <v>46004</v>
      </c>
      <c r="D215">
        <v>2</v>
      </c>
      <c r="E215">
        <v>0</v>
      </c>
      <c r="F215">
        <v>2</v>
      </c>
      <c r="G215">
        <v>0</v>
      </c>
    </row>
    <row r="216" spans="1:7" x14ac:dyDescent="0.45">
      <c r="A216" t="s">
        <v>15</v>
      </c>
      <c r="B216" t="s">
        <v>16</v>
      </c>
      <c r="C216" s="6">
        <v>45908</v>
      </c>
      <c r="D216">
        <v>678</v>
      </c>
      <c r="E216">
        <v>12</v>
      </c>
      <c r="F216">
        <v>690</v>
      </c>
      <c r="G216">
        <v>17391.304347826092</v>
      </c>
    </row>
    <row r="217" spans="1:7" x14ac:dyDescent="0.45">
      <c r="A217" t="s">
        <v>15</v>
      </c>
      <c r="B217" t="s">
        <v>16</v>
      </c>
      <c r="C217" s="6">
        <v>45915</v>
      </c>
      <c r="D217">
        <v>373</v>
      </c>
      <c r="E217">
        <v>9</v>
      </c>
      <c r="F217">
        <v>382</v>
      </c>
      <c r="G217">
        <v>23560.209424083769</v>
      </c>
    </row>
    <row r="218" spans="1:7" x14ac:dyDescent="0.45">
      <c r="A218" t="s">
        <v>15</v>
      </c>
      <c r="B218" t="s">
        <v>16</v>
      </c>
      <c r="C218" s="6">
        <v>45916</v>
      </c>
      <c r="D218">
        <v>70</v>
      </c>
      <c r="E218">
        <v>0</v>
      </c>
      <c r="F218">
        <v>70</v>
      </c>
      <c r="G218">
        <v>0</v>
      </c>
    </row>
    <row r="219" spans="1:7" x14ac:dyDescent="0.45">
      <c r="A219" t="s">
        <v>15</v>
      </c>
      <c r="B219" t="s">
        <v>16</v>
      </c>
      <c r="C219" s="6">
        <v>45995</v>
      </c>
      <c r="D219">
        <v>211</v>
      </c>
      <c r="E219">
        <v>5</v>
      </c>
      <c r="F219">
        <v>216</v>
      </c>
      <c r="G219">
        <v>23148.14814814815</v>
      </c>
    </row>
    <row r="220" spans="1:7" x14ac:dyDescent="0.45">
      <c r="A220" t="s">
        <v>15</v>
      </c>
      <c r="B220" t="s">
        <v>16</v>
      </c>
      <c r="C220" s="6">
        <v>45996</v>
      </c>
      <c r="D220">
        <v>73</v>
      </c>
      <c r="E220">
        <v>11</v>
      </c>
      <c r="F220">
        <v>84</v>
      </c>
      <c r="G220">
        <v>130952.38095238101</v>
      </c>
    </row>
    <row r="221" spans="1:7" x14ac:dyDescent="0.45">
      <c r="A221" t="s">
        <v>15</v>
      </c>
      <c r="B221" t="s">
        <v>16</v>
      </c>
      <c r="C221" s="6">
        <v>46008</v>
      </c>
      <c r="D221">
        <v>952</v>
      </c>
      <c r="E221">
        <v>11</v>
      </c>
      <c r="F221">
        <v>963</v>
      </c>
      <c r="G221">
        <v>11422.63759086189</v>
      </c>
    </row>
    <row r="222" spans="1:7" x14ac:dyDescent="0.45">
      <c r="A222" t="s">
        <v>15</v>
      </c>
      <c r="B222" t="s">
        <v>40</v>
      </c>
      <c r="C222" s="6">
        <v>45955</v>
      </c>
      <c r="D222">
        <v>159</v>
      </c>
      <c r="E222">
        <v>9</v>
      </c>
      <c r="F222">
        <v>168</v>
      </c>
      <c r="G222">
        <v>53571.428571428572</v>
      </c>
    </row>
    <row r="223" spans="1:7" x14ac:dyDescent="0.45">
      <c r="A223" t="s">
        <v>15</v>
      </c>
      <c r="B223" t="s">
        <v>40</v>
      </c>
      <c r="C223" s="6">
        <v>45964</v>
      </c>
      <c r="D223">
        <v>22</v>
      </c>
      <c r="E223">
        <v>12</v>
      </c>
      <c r="F223">
        <v>34</v>
      </c>
      <c r="G223">
        <v>352941.17647058831</v>
      </c>
    </row>
    <row r="224" spans="1:7" x14ac:dyDescent="0.45">
      <c r="A224" t="s">
        <v>15</v>
      </c>
      <c r="B224" t="s">
        <v>40</v>
      </c>
      <c r="C224" s="6">
        <v>46013</v>
      </c>
      <c r="D224">
        <v>181</v>
      </c>
      <c r="E224">
        <v>7</v>
      </c>
      <c r="F224">
        <v>188</v>
      </c>
      <c r="G224">
        <v>37234.042553191488</v>
      </c>
    </row>
    <row r="225" spans="1:7" x14ac:dyDescent="0.45">
      <c r="A225" t="s">
        <v>15</v>
      </c>
      <c r="B225" t="s">
        <v>18</v>
      </c>
      <c r="C225" s="6">
        <v>45901</v>
      </c>
      <c r="D225">
        <v>502</v>
      </c>
      <c r="E225">
        <v>48</v>
      </c>
      <c r="F225">
        <v>550</v>
      </c>
      <c r="G225">
        <v>87272.727272727279</v>
      </c>
    </row>
    <row r="226" spans="1:7" x14ac:dyDescent="0.45">
      <c r="A226" t="s">
        <v>15</v>
      </c>
      <c r="B226" t="s">
        <v>18</v>
      </c>
      <c r="C226" s="6">
        <v>45902</v>
      </c>
      <c r="D226">
        <v>8</v>
      </c>
      <c r="E226">
        <v>4</v>
      </c>
      <c r="F226">
        <v>12</v>
      </c>
      <c r="G226">
        <v>333333.33333333331</v>
      </c>
    </row>
    <row r="227" spans="1:7" x14ac:dyDescent="0.45">
      <c r="A227" t="s">
        <v>15</v>
      </c>
      <c r="B227" t="s">
        <v>18</v>
      </c>
      <c r="C227" s="6">
        <v>45916</v>
      </c>
      <c r="D227">
        <v>23</v>
      </c>
      <c r="E227">
        <v>3</v>
      </c>
      <c r="F227">
        <v>26</v>
      </c>
      <c r="G227">
        <v>115384.6153846154</v>
      </c>
    </row>
    <row r="228" spans="1:7" x14ac:dyDescent="0.45">
      <c r="A228" t="s">
        <v>15</v>
      </c>
      <c r="B228" t="s">
        <v>18</v>
      </c>
      <c r="C228" s="6">
        <v>45919</v>
      </c>
      <c r="D228">
        <v>246</v>
      </c>
      <c r="E228">
        <v>0</v>
      </c>
      <c r="F228">
        <v>246</v>
      </c>
      <c r="G228">
        <v>0</v>
      </c>
    </row>
    <row r="229" spans="1:7" x14ac:dyDescent="0.45">
      <c r="A229" t="s">
        <v>15</v>
      </c>
      <c r="B229" t="s">
        <v>18</v>
      </c>
      <c r="C229" s="6">
        <v>45922</v>
      </c>
      <c r="D229">
        <v>76</v>
      </c>
      <c r="E229">
        <v>0</v>
      </c>
      <c r="F229">
        <v>76</v>
      </c>
      <c r="G229">
        <v>0</v>
      </c>
    </row>
    <row r="230" spans="1:7" x14ac:dyDescent="0.45">
      <c r="A230" t="s">
        <v>15</v>
      </c>
      <c r="B230" t="s">
        <v>18</v>
      </c>
      <c r="C230" s="6">
        <v>45923</v>
      </c>
      <c r="D230">
        <v>189</v>
      </c>
      <c r="E230">
        <v>13</v>
      </c>
      <c r="F230">
        <v>202</v>
      </c>
      <c r="G230">
        <v>64356.435643564357</v>
      </c>
    </row>
    <row r="231" spans="1:7" x14ac:dyDescent="0.45">
      <c r="A231" t="s">
        <v>15</v>
      </c>
      <c r="B231" t="s">
        <v>18</v>
      </c>
      <c r="C231" s="6">
        <v>45966</v>
      </c>
      <c r="D231">
        <v>50</v>
      </c>
      <c r="E231">
        <v>0</v>
      </c>
      <c r="F231">
        <v>50</v>
      </c>
      <c r="G231">
        <v>0</v>
      </c>
    </row>
    <row r="232" spans="1:7" x14ac:dyDescent="0.45">
      <c r="A232" t="s">
        <v>15</v>
      </c>
      <c r="B232" t="s">
        <v>18</v>
      </c>
      <c r="C232" s="6">
        <v>45996</v>
      </c>
      <c r="D232">
        <v>205</v>
      </c>
      <c r="E232">
        <v>13</v>
      </c>
      <c r="F232">
        <v>218</v>
      </c>
      <c r="G232">
        <v>59633.027522935787</v>
      </c>
    </row>
    <row r="233" spans="1:7" x14ac:dyDescent="0.45">
      <c r="A233" t="s">
        <v>15</v>
      </c>
      <c r="B233" t="s">
        <v>18</v>
      </c>
      <c r="C233" s="6">
        <v>46001</v>
      </c>
      <c r="D233">
        <v>97</v>
      </c>
      <c r="E233">
        <v>3</v>
      </c>
      <c r="F233">
        <v>100</v>
      </c>
      <c r="G233">
        <v>30000</v>
      </c>
    </row>
    <row r="234" spans="1:7" x14ac:dyDescent="0.45">
      <c r="A234" t="s">
        <v>15</v>
      </c>
      <c r="B234" t="s">
        <v>18</v>
      </c>
      <c r="C234" s="6">
        <v>46009</v>
      </c>
      <c r="D234">
        <v>139</v>
      </c>
      <c r="E234">
        <v>5</v>
      </c>
      <c r="F234">
        <v>144</v>
      </c>
      <c r="G234">
        <v>34722.222222222234</v>
      </c>
    </row>
    <row r="235" spans="1:7" x14ac:dyDescent="0.45">
      <c r="A235" t="s">
        <v>15</v>
      </c>
      <c r="B235" t="s">
        <v>19</v>
      </c>
      <c r="C235" s="6">
        <v>45898</v>
      </c>
      <c r="D235">
        <v>39</v>
      </c>
      <c r="E235">
        <v>7</v>
      </c>
      <c r="F235">
        <v>46</v>
      </c>
      <c r="G235">
        <v>152173.9130434783</v>
      </c>
    </row>
    <row r="236" spans="1:7" x14ac:dyDescent="0.45">
      <c r="A236" t="s">
        <v>15</v>
      </c>
      <c r="B236" t="s">
        <v>20</v>
      </c>
      <c r="C236" s="6">
        <v>45923</v>
      </c>
      <c r="D236">
        <v>216</v>
      </c>
      <c r="E236">
        <v>10</v>
      </c>
      <c r="F236">
        <v>226</v>
      </c>
      <c r="G236">
        <v>44247.787610619467</v>
      </c>
    </row>
    <row r="237" spans="1:7" x14ac:dyDescent="0.45">
      <c r="A237" t="s">
        <v>15</v>
      </c>
      <c r="B237" t="s">
        <v>23</v>
      </c>
      <c r="C237" s="6">
        <v>46000</v>
      </c>
      <c r="D237">
        <v>25</v>
      </c>
      <c r="E237">
        <v>1</v>
      </c>
      <c r="F237">
        <v>26</v>
      </c>
      <c r="G237">
        <v>38461.538461538461</v>
      </c>
    </row>
    <row r="238" spans="1:7" x14ac:dyDescent="0.45">
      <c r="A238" t="s">
        <v>15</v>
      </c>
      <c r="B238" t="s">
        <v>24</v>
      </c>
      <c r="C238" s="6">
        <v>45919</v>
      </c>
      <c r="D238">
        <v>82</v>
      </c>
      <c r="E238">
        <v>2</v>
      </c>
      <c r="F238">
        <v>84</v>
      </c>
      <c r="G238">
        <v>23809.523809523809</v>
      </c>
    </row>
    <row r="239" spans="1:7" x14ac:dyDescent="0.45">
      <c r="A239" t="s">
        <v>15</v>
      </c>
      <c r="B239" t="s">
        <v>24</v>
      </c>
      <c r="C239" s="6">
        <v>46009</v>
      </c>
      <c r="D239">
        <v>363</v>
      </c>
      <c r="E239">
        <v>71</v>
      </c>
      <c r="F239">
        <v>434</v>
      </c>
      <c r="G239">
        <v>163594.47004608289</v>
      </c>
    </row>
    <row r="240" spans="1:7" x14ac:dyDescent="0.45">
      <c r="A240" t="s">
        <v>15</v>
      </c>
      <c r="B240" t="s">
        <v>25</v>
      </c>
      <c r="C240" s="6">
        <v>45916</v>
      </c>
      <c r="D240">
        <v>18</v>
      </c>
      <c r="E240">
        <v>0</v>
      </c>
      <c r="F240">
        <v>18</v>
      </c>
      <c r="G240">
        <v>0</v>
      </c>
    </row>
    <row r="241" spans="1:7" x14ac:dyDescent="0.45">
      <c r="A241" t="s">
        <v>15</v>
      </c>
      <c r="B241" t="s">
        <v>25</v>
      </c>
      <c r="C241" s="6">
        <v>45917</v>
      </c>
      <c r="D241">
        <v>62</v>
      </c>
      <c r="E241">
        <v>6</v>
      </c>
      <c r="F241">
        <v>68</v>
      </c>
      <c r="G241">
        <v>88235.294117647063</v>
      </c>
    </row>
    <row r="242" spans="1:7" x14ac:dyDescent="0.45">
      <c r="A242" t="s">
        <v>15</v>
      </c>
      <c r="B242" t="s">
        <v>25</v>
      </c>
      <c r="C242" s="6">
        <v>45918</v>
      </c>
      <c r="D242">
        <v>604</v>
      </c>
      <c r="E242">
        <v>16</v>
      </c>
      <c r="F242">
        <v>620</v>
      </c>
      <c r="G242">
        <v>25806.451612903231</v>
      </c>
    </row>
    <row r="243" spans="1:7" x14ac:dyDescent="0.45">
      <c r="A243" t="s">
        <v>15</v>
      </c>
      <c r="B243" t="s">
        <v>25</v>
      </c>
      <c r="C243" s="6">
        <v>45955</v>
      </c>
      <c r="D243">
        <v>768</v>
      </c>
      <c r="E243">
        <v>4</v>
      </c>
      <c r="F243">
        <v>772</v>
      </c>
      <c r="G243">
        <v>5181.3471502590673</v>
      </c>
    </row>
    <row r="244" spans="1:7" x14ac:dyDescent="0.45">
      <c r="A244" t="s">
        <v>15</v>
      </c>
      <c r="B244" t="s">
        <v>25</v>
      </c>
      <c r="C244" s="6">
        <v>45957</v>
      </c>
      <c r="D244">
        <v>77</v>
      </c>
      <c r="E244">
        <v>1</v>
      </c>
      <c r="F244">
        <v>78</v>
      </c>
      <c r="G244">
        <v>12820.51282051282</v>
      </c>
    </row>
    <row r="245" spans="1:7" x14ac:dyDescent="0.45">
      <c r="A245" t="s">
        <v>15</v>
      </c>
      <c r="B245" t="s">
        <v>25</v>
      </c>
      <c r="C245" s="6">
        <v>45994</v>
      </c>
      <c r="D245">
        <v>163</v>
      </c>
      <c r="E245">
        <v>1</v>
      </c>
      <c r="F245">
        <v>164</v>
      </c>
      <c r="G245">
        <v>6097.5609756097556</v>
      </c>
    </row>
    <row r="246" spans="1:7" x14ac:dyDescent="0.45">
      <c r="A246" t="s">
        <v>15</v>
      </c>
      <c r="B246" t="s">
        <v>25</v>
      </c>
      <c r="C246" s="6">
        <v>45995</v>
      </c>
      <c r="D246">
        <v>228</v>
      </c>
      <c r="E246">
        <v>2</v>
      </c>
      <c r="F246">
        <v>230</v>
      </c>
      <c r="G246">
        <v>8695.652173913044</v>
      </c>
    </row>
    <row r="247" spans="1:7" x14ac:dyDescent="0.45">
      <c r="A247" t="s">
        <v>15</v>
      </c>
      <c r="B247" t="s">
        <v>25</v>
      </c>
      <c r="C247" s="6">
        <v>45996</v>
      </c>
      <c r="D247">
        <v>6</v>
      </c>
      <c r="E247">
        <v>0</v>
      </c>
      <c r="F247">
        <v>6</v>
      </c>
      <c r="G247">
        <v>0</v>
      </c>
    </row>
    <row r="248" spans="1:7" x14ac:dyDescent="0.45">
      <c r="A248" t="s">
        <v>15</v>
      </c>
      <c r="B248" t="s">
        <v>41</v>
      </c>
      <c r="C248" s="6">
        <v>45964</v>
      </c>
      <c r="D248">
        <v>4</v>
      </c>
      <c r="E248">
        <v>8</v>
      </c>
      <c r="F248">
        <v>12</v>
      </c>
      <c r="G248">
        <v>666666.66666666663</v>
      </c>
    </row>
    <row r="249" spans="1:7" x14ac:dyDescent="0.45">
      <c r="A249" t="s">
        <v>15</v>
      </c>
      <c r="B249" t="s">
        <v>26</v>
      </c>
      <c r="C249" s="6">
        <v>45987</v>
      </c>
      <c r="D249">
        <v>58</v>
      </c>
      <c r="E249">
        <v>16</v>
      </c>
      <c r="F249">
        <v>74</v>
      </c>
      <c r="G249">
        <v>216216.21621621621</v>
      </c>
    </row>
    <row r="250" spans="1:7" x14ac:dyDescent="0.45">
      <c r="A250" t="s">
        <v>15</v>
      </c>
      <c r="B250" t="s">
        <v>26</v>
      </c>
      <c r="C250" s="6">
        <v>45994</v>
      </c>
      <c r="D250">
        <v>217</v>
      </c>
      <c r="E250">
        <v>0</v>
      </c>
      <c r="F250">
        <v>217</v>
      </c>
      <c r="G250">
        <v>0</v>
      </c>
    </row>
    <row r="251" spans="1:7" x14ac:dyDescent="0.45">
      <c r="A251" t="s">
        <v>15</v>
      </c>
      <c r="B251" t="s">
        <v>26</v>
      </c>
      <c r="C251" s="6">
        <v>45995</v>
      </c>
      <c r="D251">
        <v>129</v>
      </c>
      <c r="E251">
        <v>1</v>
      </c>
      <c r="F251">
        <v>130</v>
      </c>
      <c r="G251">
        <v>7692.3076923076924</v>
      </c>
    </row>
    <row r="252" spans="1:7" x14ac:dyDescent="0.45">
      <c r="A252" t="s">
        <v>15</v>
      </c>
      <c r="B252" t="s">
        <v>30</v>
      </c>
      <c r="C252" s="6">
        <v>45995</v>
      </c>
      <c r="D252">
        <v>20</v>
      </c>
      <c r="E252">
        <v>0</v>
      </c>
      <c r="F252">
        <v>20</v>
      </c>
      <c r="G252">
        <v>0</v>
      </c>
    </row>
    <row r="253" spans="1:7" x14ac:dyDescent="0.45">
      <c r="A253" t="s">
        <v>15</v>
      </c>
      <c r="B253" t="s">
        <v>32</v>
      </c>
      <c r="C253" s="6">
        <v>45896</v>
      </c>
      <c r="D253">
        <v>2</v>
      </c>
      <c r="E253">
        <v>0</v>
      </c>
      <c r="F253">
        <v>2</v>
      </c>
      <c r="G253">
        <v>0</v>
      </c>
    </row>
    <row r="254" spans="1:7" x14ac:dyDescent="0.45">
      <c r="A254" t="s">
        <v>15</v>
      </c>
      <c r="B254" t="s">
        <v>32</v>
      </c>
      <c r="C254" s="6">
        <v>45897</v>
      </c>
      <c r="D254">
        <v>48</v>
      </c>
      <c r="E254">
        <v>0</v>
      </c>
      <c r="F254">
        <v>48</v>
      </c>
      <c r="G254">
        <v>0</v>
      </c>
    </row>
    <row r="255" spans="1:7" x14ac:dyDescent="0.45">
      <c r="A255" t="s">
        <v>15</v>
      </c>
      <c r="B255" t="s">
        <v>32</v>
      </c>
      <c r="C255" s="6">
        <v>45912</v>
      </c>
      <c r="D255">
        <v>0</v>
      </c>
      <c r="E255">
        <v>2</v>
      </c>
      <c r="F255">
        <v>2</v>
      </c>
      <c r="G255">
        <v>1000000</v>
      </c>
    </row>
    <row r="256" spans="1:7" x14ac:dyDescent="0.45">
      <c r="A256" t="s">
        <v>15</v>
      </c>
      <c r="B256" t="s">
        <v>35</v>
      </c>
      <c r="C256" s="6">
        <v>45966</v>
      </c>
      <c r="D256">
        <v>77</v>
      </c>
      <c r="E256">
        <v>23</v>
      </c>
      <c r="F256">
        <v>100</v>
      </c>
      <c r="G256">
        <v>230000</v>
      </c>
    </row>
    <row r="257" spans="1:7" x14ac:dyDescent="0.45">
      <c r="A257" t="s">
        <v>15</v>
      </c>
      <c r="B257" t="s">
        <v>53</v>
      </c>
      <c r="C257" s="6">
        <v>46010</v>
      </c>
      <c r="D257">
        <v>65</v>
      </c>
      <c r="E257">
        <v>1</v>
      </c>
      <c r="F257">
        <v>66</v>
      </c>
      <c r="G257">
        <v>15151.51515151515</v>
      </c>
    </row>
    <row r="258" spans="1:7" x14ac:dyDescent="0.45">
      <c r="A258" t="s">
        <v>15</v>
      </c>
      <c r="B258" t="s">
        <v>54</v>
      </c>
      <c r="C258" s="6">
        <v>46009</v>
      </c>
      <c r="D258">
        <v>50</v>
      </c>
      <c r="E258">
        <v>24</v>
      </c>
      <c r="F258">
        <v>74</v>
      </c>
      <c r="G258">
        <v>324324.32432432432</v>
      </c>
    </row>
    <row r="259" spans="1:7" x14ac:dyDescent="0.45">
      <c r="A259" t="s">
        <v>15</v>
      </c>
      <c r="B259" t="s">
        <v>54</v>
      </c>
      <c r="C259" s="6">
        <v>46014</v>
      </c>
      <c r="D259">
        <v>2</v>
      </c>
      <c r="E259">
        <v>0</v>
      </c>
      <c r="F259">
        <v>2</v>
      </c>
      <c r="G259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info</vt:lpstr>
      <vt:lpstr>일별 수율 데이터</vt:lpstr>
      <vt:lpstr>DashBoard</vt:lpstr>
      <vt:lpstr>pivot</vt:lpstr>
      <vt:lpstr>(참고)info</vt:lpstr>
      <vt:lpstr>(참고)일별 수율 데이터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윤대영</dc:creator>
  <cp:lastModifiedBy>Daeyoung Yun</cp:lastModifiedBy>
  <dcterms:created xsi:type="dcterms:W3CDTF">2025-12-16T02:51:13Z</dcterms:created>
  <dcterms:modified xsi:type="dcterms:W3CDTF">2025-12-29T02:08:41Z</dcterms:modified>
</cp:coreProperties>
</file>